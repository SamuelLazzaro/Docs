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gautomation-my.sharepoint.com/personal/samuel_lazzaro_gavazziacbu_it/Documents/EM600B/SunSpec Map/"/>
    </mc:Choice>
  </mc:AlternateContent>
  <xr:revisionPtr revIDLastSave="31" documentId="8_{5131750D-C536-449E-AA2A-92154F999195}" xr6:coauthVersionLast="47" xr6:coauthVersionMax="47" xr10:uidLastSave="{0870DD72-D5E8-4388-BC32-D5613FA2B3C7}"/>
  <bookViews>
    <workbookView xWindow="-30" yWindow="-16320" windowWidth="29040" windowHeight="15720" activeTab="4" xr2:uid="{00000000-000D-0000-FFFF-FFFF00000000}"/>
  </bookViews>
  <sheets>
    <sheet name="License Agreement" sheetId="109" r:id="rId1"/>
    <sheet name="Summary" sheetId="110" r:id="rId2"/>
    <sheet name="Index" sheetId="1" r:id="rId3"/>
    <sheet name="1" sheetId="2" r:id="rId4"/>
    <sheet name="211" sheetId="58" r:id="rId5"/>
    <sheet name="212" sheetId="59" r:id="rId6"/>
    <sheet name="213" sheetId="60" r:id="rId7"/>
    <sheet name="214" sheetId="6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58" l="1"/>
  <c r="A11" i="2"/>
  <c r="B11" i="2"/>
  <c r="B3" i="58"/>
  <c r="B10" i="2"/>
  <c r="D2" i="59" s="1"/>
  <c r="B5" i="2"/>
  <c r="A5" i="2" s="1"/>
  <c r="B6" i="2"/>
  <c r="B7" i="2"/>
  <c r="B8" i="2"/>
  <c r="B9" i="2"/>
  <c r="B4" i="2"/>
  <c r="A4" i="2" s="1"/>
  <c r="A3" i="2"/>
  <c r="D2" i="61" l="1"/>
  <c r="B65" i="61" s="1"/>
  <c r="A65" i="61" s="1"/>
  <c r="B66" i="59"/>
  <c r="B31" i="59"/>
  <c r="A31" i="59" s="1"/>
  <c r="B29" i="59"/>
  <c r="A29" i="59" s="1"/>
  <c r="B27" i="59"/>
  <c r="A27" i="59" s="1"/>
  <c r="B57" i="59"/>
  <c r="A57" i="59" s="1"/>
  <c r="B17" i="59"/>
  <c r="A17" i="59" s="1"/>
  <c r="B15" i="59"/>
  <c r="A15" i="59" s="1"/>
  <c r="B6" i="59"/>
  <c r="A6" i="59" s="1"/>
  <c r="B5" i="59"/>
  <c r="A5" i="59" s="1"/>
  <c r="B35" i="59"/>
  <c r="A35" i="59" s="1"/>
  <c r="B25" i="59"/>
  <c r="A25" i="59" s="1"/>
  <c r="B61" i="59"/>
  <c r="A61" i="59" s="1"/>
  <c r="B21" i="59"/>
  <c r="A21" i="59" s="1"/>
  <c r="B59" i="59"/>
  <c r="A59" i="59" s="1"/>
  <c r="B19" i="59"/>
  <c r="A19" i="59" s="1"/>
  <c r="B53" i="59"/>
  <c r="A53" i="59" s="1"/>
  <c r="B37" i="59"/>
  <c r="A37" i="59" s="1"/>
  <c r="B3" i="59"/>
  <c r="A3" i="59" s="1"/>
  <c r="B63" i="59"/>
  <c r="A63" i="59" s="1"/>
  <c r="B23" i="59"/>
  <c r="A23" i="59" s="1"/>
  <c r="B18" i="59"/>
  <c r="A18" i="59" s="1"/>
  <c r="B55" i="59"/>
  <c r="A55" i="59" s="1"/>
  <c r="B7" i="59"/>
  <c r="A7" i="59" s="1"/>
  <c r="B51" i="59"/>
  <c r="A51" i="59" s="1"/>
  <c r="B14" i="59"/>
  <c r="A14" i="59" s="1"/>
  <c r="B41" i="59"/>
  <c r="A41" i="59" s="1"/>
  <c r="B39" i="59"/>
  <c r="A39" i="59" s="1"/>
  <c r="B33" i="59"/>
  <c r="A33" i="59" s="1"/>
  <c r="B49" i="59"/>
  <c r="A49" i="59" s="1"/>
  <c r="B13" i="59"/>
  <c r="A13" i="59" s="1"/>
  <c r="B47" i="59"/>
  <c r="A47" i="59" s="1"/>
  <c r="B11" i="59"/>
  <c r="A11" i="59" s="1"/>
  <c r="B45" i="59"/>
  <c r="A45" i="59" s="1"/>
  <c r="B10" i="59"/>
  <c r="A10" i="59" s="1"/>
  <c r="B43" i="59"/>
  <c r="A43" i="59" s="1"/>
  <c r="B9" i="59"/>
  <c r="A9" i="59" s="1"/>
  <c r="B38" i="61"/>
  <c r="A38" i="61" s="1"/>
  <c r="B39" i="61"/>
  <c r="A39" i="61" s="1"/>
  <c r="B42" i="61"/>
  <c r="A42" i="61" s="1"/>
  <c r="B43" i="61"/>
  <c r="A43" i="61" s="1"/>
  <c r="B10" i="61"/>
  <c r="A10" i="61" s="1"/>
  <c r="B26" i="61"/>
  <c r="A26" i="61" s="1"/>
  <c r="B11" i="61"/>
  <c r="A11" i="61" s="1"/>
  <c r="B27" i="61"/>
  <c r="A27" i="61" s="1"/>
  <c r="B46" i="61"/>
  <c r="A46" i="61" s="1"/>
  <c r="B47" i="61"/>
  <c r="A47" i="61" s="1"/>
  <c r="B12" i="61"/>
  <c r="A12" i="61" s="1"/>
  <c r="B28" i="61"/>
  <c r="A28" i="61" s="1"/>
  <c r="B7" i="61"/>
  <c r="A7" i="61" s="1"/>
  <c r="B50" i="61"/>
  <c r="A50" i="61" s="1"/>
  <c r="B51" i="61"/>
  <c r="A51" i="61" s="1"/>
  <c r="B54" i="61"/>
  <c r="A54" i="61" s="1"/>
  <c r="B55" i="61"/>
  <c r="A55" i="61" s="1"/>
  <c r="B59" i="61"/>
  <c r="A59" i="61" s="1"/>
  <c r="B22" i="61"/>
  <c r="A22" i="61" s="1"/>
  <c r="B14" i="61"/>
  <c r="A14" i="61" s="1"/>
  <c r="D2" i="60"/>
  <c r="B18" i="61"/>
  <c r="A18" i="61" s="1"/>
  <c r="B34" i="61"/>
  <c r="A34" i="61" s="1"/>
  <c r="B63" i="61"/>
  <c r="A63" i="61" s="1"/>
  <c r="B6" i="61"/>
  <c r="A6" i="61" s="1"/>
  <c r="B23" i="61"/>
  <c r="A23" i="61" s="1"/>
  <c r="B8" i="61"/>
  <c r="A8" i="61" s="1"/>
  <c r="B30" i="61"/>
  <c r="A30" i="61" s="1"/>
  <c r="B15" i="61"/>
  <c r="A15" i="61" s="1"/>
  <c r="B16" i="61"/>
  <c r="A16" i="61" s="1"/>
  <c r="B32" i="61"/>
  <c r="A32" i="61" s="1"/>
  <c r="A10" i="2"/>
  <c r="B3" i="61"/>
  <c r="A3" i="61" s="1"/>
  <c r="B19" i="61"/>
  <c r="A19" i="61" s="1"/>
  <c r="B35" i="61"/>
  <c r="A35" i="61" s="1"/>
  <c r="B36" i="61"/>
  <c r="A36" i="61" s="1"/>
  <c r="B24" i="61"/>
  <c r="A24" i="61" s="1"/>
  <c r="B31" i="61"/>
  <c r="A31" i="61" s="1"/>
  <c r="B51" i="58"/>
  <c r="A51" i="58" s="1"/>
  <c r="B4" i="61"/>
  <c r="A4" i="61" s="1"/>
  <c r="B20" i="61"/>
  <c r="A20" i="61" s="1"/>
  <c r="B52" i="58"/>
  <c r="A52" i="58" s="1"/>
  <c r="B63" i="58"/>
  <c r="A63" i="58" s="1"/>
  <c r="B58" i="61"/>
  <c r="A58" i="61" s="1"/>
  <c r="B62" i="61"/>
  <c r="A62" i="61" s="1"/>
  <c r="B66" i="61"/>
  <c r="B40" i="61"/>
  <c r="A40" i="61" s="1"/>
  <c r="B44" i="61"/>
  <c r="A44" i="61" s="1"/>
  <c r="B48" i="61"/>
  <c r="A48" i="61" s="1"/>
  <c r="B52" i="61"/>
  <c r="A52" i="61" s="1"/>
  <c r="B56" i="61"/>
  <c r="A56" i="61" s="1"/>
  <c r="B60" i="61"/>
  <c r="A60" i="61" s="1"/>
  <c r="B64" i="61"/>
  <c r="A64" i="61" s="1"/>
  <c r="B5" i="61"/>
  <c r="A5" i="61" s="1"/>
  <c r="B9" i="61"/>
  <c r="A9" i="61" s="1"/>
  <c r="B13" i="61"/>
  <c r="A13" i="61" s="1"/>
  <c r="B17" i="61"/>
  <c r="A17" i="61" s="1"/>
  <c r="B21" i="61"/>
  <c r="A21" i="61" s="1"/>
  <c r="B25" i="61"/>
  <c r="A25" i="61" s="1"/>
  <c r="B29" i="61"/>
  <c r="A29" i="61" s="1"/>
  <c r="B33" i="61"/>
  <c r="A33" i="61" s="1"/>
  <c r="B37" i="61"/>
  <c r="A37" i="61" s="1"/>
  <c r="B41" i="61"/>
  <c r="A41" i="61" s="1"/>
  <c r="B45" i="61"/>
  <c r="A45" i="61" s="1"/>
  <c r="B49" i="61"/>
  <c r="A49" i="61" s="1"/>
  <c r="B53" i="61"/>
  <c r="A53" i="61" s="1"/>
  <c r="B57" i="61"/>
  <c r="A57" i="61" s="1"/>
  <c r="B61" i="61"/>
  <c r="A61" i="61" s="1"/>
  <c r="B22" i="59"/>
  <c r="A22" i="59" s="1"/>
  <c r="B26" i="59"/>
  <c r="A26" i="59" s="1"/>
  <c r="B30" i="59"/>
  <c r="A30" i="59" s="1"/>
  <c r="B34" i="59"/>
  <c r="A34" i="59" s="1"/>
  <c r="B38" i="59"/>
  <c r="A38" i="59" s="1"/>
  <c r="B42" i="59"/>
  <c r="A42" i="59" s="1"/>
  <c r="B46" i="59"/>
  <c r="A46" i="59" s="1"/>
  <c r="B50" i="59"/>
  <c r="A50" i="59" s="1"/>
  <c r="B54" i="59"/>
  <c r="A54" i="59" s="1"/>
  <c r="B58" i="59"/>
  <c r="A58" i="59" s="1"/>
  <c r="B62" i="59"/>
  <c r="A62" i="59" s="1"/>
  <c r="B4" i="59"/>
  <c r="A4" i="59" s="1"/>
  <c r="B8" i="59"/>
  <c r="A8" i="59" s="1"/>
  <c r="B12" i="59"/>
  <c r="A12" i="59" s="1"/>
  <c r="B16" i="59"/>
  <c r="A16" i="59" s="1"/>
  <c r="B20" i="59"/>
  <c r="A20" i="59" s="1"/>
  <c r="B24" i="59"/>
  <c r="A24" i="59" s="1"/>
  <c r="B28" i="59"/>
  <c r="A28" i="59" s="1"/>
  <c r="B32" i="59"/>
  <c r="A32" i="59" s="1"/>
  <c r="B36" i="59"/>
  <c r="A36" i="59" s="1"/>
  <c r="B40" i="59"/>
  <c r="A40" i="59" s="1"/>
  <c r="B44" i="59"/>
  <c r="A44" i="59" s="1"/>
  <c r="B48" i="59"/>
  <c r="A48" i="59" s="1"/>
  <c r="B52" i="59"/>
  <c r="A52" i="59" s="1"/>
  <c r="B56" i="59"/>
  <c r="A56" i="59" s="1"/>
  <c r="B60" i="59"/>
  <c r="A60" i="59" s="1"/>
  <c r="B64" i="59"/>
  <c r="A64" i="59" s="1"/>
  <c r="B65" i="59"/>
  <c r="A65" i="59" s="1"/>
  <c r="B17" i="58"/>
  <c r="A17" i="58" s="1"/>
  <c r="B21" i="58"/>
  <c r="A21" i="58" s="1"/>
  <c r="B25" i="58"/>
  <c r="A25" i="58" s="1"/>
  <c r="A6" i="2"/>
  <c r="B8" i="58" l="1"/>
  <c r="A8" i="58" s="1"/>
  <c r="B7" i="58"/>
  <c r="A7" i="58" s="1"/>
  <c r="B27" i="58"/>
  <c r="A27" i="58" s="1"/>
  <c r="B16" i="58"/>
  <c r="A16" i="58" s="1"/>
  <c r="B47" i="58"/>
  <c r="A47" i="58" s="1"/>
  <c r="B28" i="58"/>
  <c r="A28" i="58" s="1"/>
  <c r="B42" i="58"/>
  <c r="A42" i="58" s="1"/>
  <c r="B5" i="58"/>
  <c r="A5" i="58" s="1"/>
  <c r="B15" i="58"/>
  <c r="A15" i="58" s="1"/>
  <c r="B38" i="58"/>
  <c r="A38" i="58" s="1"/>
  <c r="B31" i="58"/>
  <c r="A31" i="58" s="1"/>
  <c r="B13" i="58"/>
  <c r="A13" i="58" s="1"/>
  <c r="B39" i="58"/>
  <c r="A39" i="58" s="1"/>
  <c r="A3" i="58"/>
  <c r="B26" i="58"/>
  <c r="A26" i="58" s="1"/>
  <c r="B23" i="58"/>
  <c r="A23" i="58" s="1"/>
  <c r="B30" i="58"/>
  <c r="A30" i="58" s="1"/>
  <c r="B22" i="58"/>
  <c r="A22" i="58" s="1"/>
  <c r="B43" i="58"/>
  <c r="A43" i="58" s="1"/>
  <c r="B14" i="58"/>
  <c r="A14" i="58" s="1"/>
  <c r="B32" i="58"/>
  <c r="A32" i="58" s="1"/>
  <c r="B48" i="58"/>
  <c r="A48" i="58" s="1"/>
  <c r="B10" i="58"/>
  <c r="A10" i="58" s="1"/>
  <c r="B11" i="58"/>
  <c r="A11" i="58" s="1"/>
  <c r="B60" i="58"/>
  <c r="A60" i="58" s="1"/>
  <c r="B12" i="58"/>
  <c r="A12" i="58" s="1"/>
  <c r="B18" i="58"/>
  <c r="A18" i="58" s="1"/>
  <c r="B6" i="58"/>
  <c r="A6" i="58" s="1"/>
  <c r="B55" i="58"/>
  <c r="A55" i="58" s="1"/>
  <c r="B65" i="58"/>
  <c r="A65" i="58" s="1"/>
  <c r="B44" i="58"/>
  <c r="A44" i="58" s="1"/>
  <c r="B9" i="58"/>
  <c r="A9" i="58" s="1"/>
  <c r="B34" i="58"/>
  <c r="A34" i="58" s="1"/>
  <c r="B53" i="58"/>
  <c r="A53" i="58" s="1"/>
  <c r="B19" i="58"/>
  <c r="A19" i="58" s="1"/>
  <c r="B64" i="58"/>
  <c r="A64" i="58" s="1"/>
  <c r="B61" i="58"/>
  <c r="A61" i="58" s="1"/>
  <c r="B66" i="58"/>
  <c r="B17" i="60"/>
  <c r="A17" i="60" s="1"/>
  <c r="B33" i="60"/>
  <c r="A33" i="60" s="1"/>
  <c r="B49" i="60"/>
  <c r="A49" i="60" s="1"/>
  <c r="B65" i="60"/>
  <c r="A65" i="60" s="1"/>
  <c r="B18" i="60"/>
  <c r="A18" i="60" s="1"/>
  <c r="B34" i="60"/>
  <c r="A34" i="60" s="1"/>
  <c r="B50" i="60"/>
  <c r="A50" i="60" s="1"/>
  <c r="B66" i="60"/>
  <c r="B19" i="60"/>
  <c r="A19" i="60" s="1"/>
  <c r="B35" i="60"/>
  <c r="A35" i="60" s="1"/>
  <c r="B51" i="60"/>
  <c r="A51" i="60" s="1"/>
  <c r="B3" i="60"/>
  <c r="A3" i="60" s="1"/>
  <c r="B55" i="60"/>
  <c r="A55" i="60" s="1"/>
  <c r="B40" i="60"/>
  <c r="A40" i="60" s="1"/>
  <c r="B13" i="60"/>
  <c r="A13" i="60" s="1"/>
  <c r="B61" i="60"/>
  <c r="A61" i="60" s="1"/>
  <c r="B31" i="60"/>
  <c r="A31" i="60" s="1"/>
  <c r="B5" i="60"/>
  <c r="A5" i="60" s="1"/>
  <c r="B21" i="60"/>
  <c r="A21" i="60" s="1"/>
  <c r="B37" i="60"/>
  <c r="A37" i="60" s="1"/>
  <c r="B53" i="60"/>
  <c r="A53" i="60" s="1"/>
  <c r="B22" i="60"/>
  <c r="A22" i="60" s="1"/>
  <c r="B24" i="60"/>
  <c r="A24" i="60" s="1"/>
  <c r="B29" i="60"/>
  <c r="A29" i="60" s="1"/>
  <c r="B63" i="60"/>
  <c r="A63" i="60" s="1"/>
  <c r="B16" i="60"/>
  <c r="A16" i="60" s="1"/>
  <c r="B48" i="60"/>
  <c r="A48" i="60" s="1"/>
  <c r="B4" i="60"/>
  <c r="A4" i="60" s="1"/>
  <c r="B20" i="60"/>
  <c r="A20" i="60" s="1"/>
  <c r="B36" i="60"/>
  <c r="A36" i="60" s="1"/>
  <c r="B52" i="60"/>
  <c r="A52" i="60" s="1"/>
  <c r="B6" i="60"/>
  <c r="A6" i="60" s="1"/>
  <c r="B38" i="60"/>
  <c r="A38" i="60" s="1"/>
  <c r="B54" i="60"/>
  <c r="A54" i="60" s="1"/>
  <c r="B7" i="60"/>
  <c r="A7" i="60" s="1"/>
  <c r="B23" i="60"/>
  <c r="A23" i="60" s="1"/>
  <c r="B39" i="60"/>
  <c r="A39" i="60" s="1"/>
  <c r="B8" i="60"/>
  <c r="A8" i="60" s="1"/>
  <c r="B56" i="60"/>
  <c r="A56" i="60" s="1"/>
  <c r="B45" i="60"/>
  <c r="A45" i="60" s="1"/>
  <c r="B30" i="60"/>
  <c r="A30" i="60" s="1"/>
  <c r="B15" i="60"/>
  <c r="A15" i="60" s="1"/>
  <c r="B32" i="60"/>
  <c r="A32" i="60" s="1"/>
  <c r="B9" i="60"/>
  <c r="A9" i="60" s="1"/>
  <c r="B25" i="60"/>
  <c r="A25" i="60" s="1"/>
  <c r="B41" i="60"/>
  <c r="A41" i="60" s="1"/>
  <c r="B57" i="60"/>
  <c r="A57" i="60" s="1"/>
  <c r="B27" i="60"/>
  <c r="A27" i="60" s="1"/>
  <c r="B14" i="60"/>
  <c r="A14" i="60" s="1"/>
  <c r="B46" i="60"/>
  <c r="A46" i="60" s="1"/>
  <c r="B62" i="60"/>
  <c r="A62" i="60" s="1"/>
  <c r="B47" i="60"/>
  <c r="A47" i="60" s="1"/>
  <c r="B64" i="60"/>
  <c r="A64" i="60" s="1"/>
  <c r="B10" i="60"/>
  <c r="A10" i="60" s="1"/>
  <c r="B26" i="60"/>
  <c r="A26" i="60" s="1"/>
  <c r="B42" i="60"/>
  <c r="A42" i="60" s="1"/>
  <c r="B58" i="60"/>
  <c r="A58" i="60" s="1"/>
  <c r="B11" i="60"/>
  <c r="A11" i="60" s="1"/>
  <c r="B43" i="60"/>
  <c r="A43" i="60" s="1"/>
  <c r="B59" i="60"/>
  <c r="A59" i="60" s="1"/>
  <c r="B12" i="60"/>
  <c r="A12" i="60" s="1"/>
  <c r="B28" i="60"/>
  <c r="A28" i="60" s="1"/>
  <c r="B44" i="60"/>
  <c r="A44" i="60" s="1"/>
  <c r="B60" i="60"/>
  <c r="A60" i="60" s="1"/>
  <c r="B57" i="58"/>
  <c r="A57" i="58" s="1"/>
  <c r="B59" i="58"/>
  <c r="A59" i="58" s="1"/>
  <c r="B62" i="58"/>
  <c r="A62" i="58" s="1"/>
  <c r="B45" i="58"/>
  <c r="A45" i="58" s="1"/>
  <c r="B4" i="58"/>
  <c r="A4" i="58" s="1"/>
  <c r="B58" i="58"/>
  <c r="A58" i="58" s="1"/>
  <c r="B41" i="58"/>
  <c r="A41" i="58" s="1"/>
  <c r="B35" i="58"/>
  <c r="A35" i="58" s="1"/>
  <c r="A66" i="59"/>
  <c r="F4" i="59"/>
  <c r="B49" i="58"/>
  <c r="A49" i="58" s="1"/>
  <c r="B36" i="58"/>
  <c r="A36" i="58" s="1"/>
  <c r="A66" i="61"/>
  <c r="F4" i="61"/>
  <c r="B20" i="58"/>
  <c r="A20" i="58" s="1"/>
  <c r="B54" i="58"/>
  <c r="A54" i="58" s="1"/>
  <c r="B37" i="58"/>
  <c r="A37" i="58" s="1"/>
  <c r="B56" i="58"/>
  <c r="A56" i="58" s="1"/>
  <c r="B50" i="58"/>
  <c r="A50" i="58" s="1"/>
  <c r="B33" i="58"/>
  <c r="A33" i="58" s="1"/>
  <c r="B46" i="58"/>
  <c r="A46" i="58" s="1"/>
  <c r="B29" i="58"/>
  <c r="A29" i="58" s="1"/>
  <c r="B40" i="58"/>
  <c r="A40" i="58" s="1"/>
  <c r="B24" i="58"/>
  <c r="A24" i="58" s="1"/>
  <c r="A7" i="2"/>
  <c r="F4" i="58" l="1"/>
  <c r="A66" i="58"/>
  <c r="A66" i="60"/>
  <c r="F4" i="60"/>
  <c r="A8" i="2"/>
  <c r="A9"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tc={5746F84D-4CED-47D9-88FF-D969B09433C6}</author>
    <author>Fabio Facchin</author>
    <author>tc={19BB5CD1-6391-461D-B109-BA4768C5C8F0}</author>
  </authors>
  <commentList>
    <comment ref="B3" authorId="0" shapeId="0" xr:uid="{5746F84D-4CED-47D9-88FF-D969B09433C6}">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Deve partire da 40002 e non da 40000 in quanto a 40000 devono essere inseriti i 2 valori 0x5375 e 0x6E53 (valore hex della stringa ASCII “SunS”). Vedi paragrafo 6.1.1 di SunSpec-Device-Information-Model-Specificiation-V1-1-final.pdf</t>
      </text>
    </comment>
    <comment ref="E4" authorId="1" shapeId="0" xr:uid="{F45F71B8-3839-4139-A218-F1940A8E8B18}">
      <text>
        <r>
          <rPr>
            <b/>
            <sz val="9"/>
            <color indexed="81"/>
            <rFont val="Tahoma"/>
            <charset val="1"/>
          </rPr>
          <t>L: A value that is the length of the device model in Modbus 16-bit registers.
    This value does NOT include the ID or L.
    I.e. it is the number of registers that follow the length.
    For the Common Model, this value is 66 but may be 65.
    All SunSpec models should be of even length.
    Common Models of length 66 shall contain the SunSpec pad16 value as the final register.</t>
        </r>
      </text>
    </comment>
    <comment ref="F4" authorId="2" shapeId="0" xr:uid="{19BB5CD1-6391-461D-B109-BA4768C5C8F0}">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Deve essere pari a 65 o al massimo a 66 se si vuole pari,  ma non a 64 in quanto non funziona.</t>
      </text>
    </comment>
    <comment ref="E11" authorId="1" shapeId="0" xr:uid="{8AC2847E-C08C-46F9-948C-C6510E908FF3}">
      <text>
        <r>
          <rPr>
            <b/>
            <sz val="9"/>
            <color indexed="81"/>
            <rFont val="Tahoma"/>
            <family val="2"/>
          </rPr>
          <t>Pad: SunSpec pad16 register.
         Must be included for Common Models of length 66.
         Not included if length is 65.
In EMS NON gestiamo il DA (Device Address) quindi la lunghezza del modello è 65 e il Pad non serve. L'indirizzo per il modello successivo sarà quindi 40066 (0x9C82)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Alessandro Fardin</author>
  </authors>
  <commentList>
    <comment ref="F13" authorId="0" shapeId="0" xr:uid="{A6C08970-FB86-461A-8A87-866B3B916F09}">
      <text>
        <r>
          <rPr>
            <sz val="11"/>
            <color theme="1"/>
            <rFont val="Calibri"/>
            <family val="2"/>
            <scheme val="minor"/>
          </rPr>
          <t>Alessandro Fardin:
Nel caso di meter usato in connessione A-B , la tensione va letta L-N o A-N</t>
        </r>
      </text>
    </comment>
  </commentList>
</comments>
</file>

<file path=xl/sharedStrings.xml><?xml version="1.0" encoding="utf-8"?>
<sst xmlns="http://schemas.openxmlformats.org/spreadsheetml/2006/main" count="1666" uniqueCount="295">
  <si>
    <t>SunSpec Alliance</t>
  </si>
  <si>
    <t>SunSpec Infomation Model Reference</t>
  </si>
  <si>
    <t>Date Generated: 2021-12-09</t>
  </si>
  <si>
    <t>This document is generated programatically from the canonical model definitions contained in the SunSpec model repository.</t>
  </si>
  <si>
    <t>For the most up-to-date version of this document, go to: https://sunspec.org/sunspec-specifications/</t>
  </si>
  <si>
    <t>Copyright SunSpec Alliance 2009-2021.  All Rights Reserved.</t>
  </si>
  <si>
    <t>This document and the information contained herein is provided on an "AS IS" basis and the SunSpec Alliance DISCLAIMS ALL WARRANTIES, EXPRESS OR IMPLIED, INCLUDING BUT NOT LIMITED TO ANY WARRANTY THAT THE USE OF THE INFORMATION HEREIN WILL NOT INFRINGE ANY OWNERSHIP RIGHTS OR ANY IMPLIED WARRANTIES OF MERCHANTABILITY OR FITNESS FOR A PARTICULAR PURPOSE.</t>
  </si>
  <si>
    <t>This document may be used, copied, and furnished to others, without restrictions of any kind, provided that this document itself may not be modified in anyway, except as needed by the SunSpec Technical Committee and as governed by the SunSpec IPR Policy.  The complete policy of the SunSpec Alliance can be found at www.sunspec.org.</t>
  </si>
  <si>
    <t>Prepared by the SunSpec Alliance</t>
  </si>
  <si>
    <t>4040 Moorpark Avenue Suite 110</t>
  </si>
  <si>
    <t>San Jose, CA 95117</t>
  </si>
  <si>
    <t>Website: www.sunspec.org</t>
  </si>
  <si>
    <t>Email: info@sunspec.org</t>
  </si>
  <si>
    <t>Summary</t>
  </si>
  <si>
    <t>This spreadsheet describes SunSpec Alliance Data Models and Modbus maps.</t>
  </si>
  <si>
    <t>Each spreadsheet tab describes an individual data model of one of the following types:</t>
  </si>
  <si>
    <t>Id Range</t>
  </si>
  <si>
    <t>Model Type</t>
  </si>
  <si>
    <t>Common</t>
  </si>
  <si>
    <t>Aggregator</t>
  </si>
  <si>
    <t>010 to 019</t>
  </si>
  <si>
    <t>Network Configuration</t>
  </si>
  <si>
    <t>100 series</t>
  </si>
  <si>
    <t>Inverter (superseded by the 700 series)</t>
  </si>
  <si>
    <t>200 series</t>
  </si>
  <si>
    <t>Meter</t>
  </si>
  <si>
    <t>300 series</t>
  </si>
  <si>
    <t>Environmental</t>
  </si>
  <si>
    <t>400 series</t>
  </si>
  <si>
    <t>String Combiner</t>
  </si>
  <si>
    <t>500 series</t>
  </si>
  <si>
    <t>Panel</t>
  </si>
  <si>
    <t>600 series</t>
  </si>
  <si>
    <t>Tracker</t>
  </si>
  <si>
    <t>700 series</t>
  </si>
  <si>
    <t>DER</t>
  </si>
  <si>
    <t>800 series</t>
  </si>
  <si>
    <t>Storage</t>
  </si>
  <si>
    <t>900 - 63000</t>
  </si>
  <si>
    <t>Reserved by SunSpec Alliance</t>
  </si>
  <si>
    <t>64000 series</t>
  </si>
  <si>
    <t>Vendor Specific</t>
  </si>
  <si>
    <t>This document includes data models that are of Approved, Test, and Draft status.</t>
  </si>
  <si>
    <t>Before using any of these models, please check the release status of the model in question.</t>
  </si>
  <si>
    <t>Only Approved models may be SunSpec Certified.</t>
  </si>
  <si>
    <t>Canonical Representation</t>
  </si>
  <si>
    <t xml:space="preserve">The documentation contained in this spreadsheet is programmatically generated from SunSpec model definition files, which can be downloaded from: </t>
  </si>
  <si>
    <t>https://github.com/sunspec/models</t>
  </si>
  <si>
    <t>Please note that the SunSpec model definition files are the canonical (definitive) representations of SunSpec models.</t>
  </si>
  <si>
    <t>SunSpec Specification Documentation</t>
  </si>
  <si>
    <t>All current SunSpec specifications (PDF format) are available for free downloading at:</t>
  </si>
  <si>
    <t>https://sunspec.org/sunspec-specifications/</t>
  </si>
  <si>
    <t>SunSpec Certification</t>
  </si>
  <si>
    <t xml:space="preserve">If you would like to have your product SunSpec Certified you can apply for Certification here: </t>
  </si>
  <si>
    <t>https://sunspec.org/sunspec-certification-application/</t>
  </si>
  <si>
    <t>After applying, someone from SunSpec will followup shortly.</t>
  </si>
  <si>
    <t>You can also contact certification@sunspec.org to ask questions and start the process.</t>
  </si>
  <si>
    <t>Model</t>
  </si>
  <si>
    <t>Label</t>
  </si>
  <si>
    <t>Description</t>
  </si>
  <si>
    <t>1</t>
  </si>
  <si>
    <t>All SunSpec compliant devices must include this as the first model</t>
  </si>
  <si>
    <t>211</t>
  </si>
  <si>
    <t>single phase (AN or AB) meter</t>
  </si>
  <si>
    <t>212</t>
  </si>
  <si>
    <t>split single phase (ABN) meter</t>
  </si>
  <si>
    <t>213</t>
  </si>
  <si>
    <t>wye-connect three phase (abcn) meter</t>
  </si>
  <si>
    <t>214</t>
  </si>
  <si>
    <t>delta-connect three phase (abc) meter</t>
  </si>
  <si>
    <t>Modbus address</t>
  </si>
  <si>
    <t>Address Offset</t>
  </si>
  <si>
    <t>Group Offset</t>
  </si>
  <si>
    <t>Name</t>
  </si>
  <si>
    <t>Value</t>
  </si>
  <si>
    <t>Count</t>
  </si>
  <si>
    <t>Type</t>
  </si>
  <si>
    <t>Size</t>
  </si>
  <si>
    <t>Scale Factor</t>
  </si>
  <si>
    <t>Units</t>
  </si>
  <si>
    <t>RW Access (RW)</t>
  </si>
  <si>
    <t>Mandatory (M)</t>
  </si>
  <si>
    <t>Static (S)</t>
  </si>
  <si>
    <t>hex</t>
  </si>
  <si>
    <t>dec</t>
  </si>
  <si>
    <t>common</t>
  </si>
  <si>
    <t>group</t>
  </si>
  <si>
    <t>ID</t>
  </si>
  <si>
    <t>uint16</t>
  </si>
  <si>
    <t>M</t>
  </si>
  <si>
    <t>S</t>
  </si>
  <si>
    <t>Model ID</t>
  </si>
  <si>
    <t>Model identifier</t>
  </si>
  <si>
    <t>L</t>
  </si>
  <si>
    <t>Model Length</t>
  </si>
  <si>
    <t>Model length</t>
  </si>
  <si>
    <t>Mn</t>
  </si>
  <si>
    <t>string</t>
  </si>
  <si>
    <t>Manufacturer</t>
  </si>
  <si>
    <t>Well known value registered with SunSpec for compliance</t>
  </si>
  <si>
    <t>Md</t>
  </si>
  <si>
    <t>Manufacturer specific value (32 chars)</t>
  </si>
  <si>
    <t>Opt</t>
  </si>
  <si>
    <t>Options</t>
  </si>
  <si>
    <t>Manufacturer specific value (16 chars)</t>
  </si>
  <si>
    <t>Vr</t>
  </si>
  <si>
    <t>Version</t>
  </si>
  <si>
    <t>SN</t>
  </si>
  <si>
    <t>Serial Number</t>
  </si>
  <si>
    <t>DA</t>
  </si>
  <si>
    <t>RW</t>
  </si>
  <si>
    <t>Device Address</t>
  </si>
  <si>
    <t>Modbus device address</t>
  </si>
  <si>
    <t>Pad</t>
  </si>
  <si>
    <t>pad</t>
  </si>
  <si>
    <t>Force even alignment</t>
  </si>
  <si>
    <t>ac_meter</t>
  </si>
  <si>
    <t>A</t>
  </si>
  <si>
    <t>float32</t>
  </si>
  <si>
    <t>Amps</t>
  </si>
  <si>
    <t>Total AC Current</t>
  </si>
  <si>
    <t>AphA</t>
  </si>
  <si>
    <t>Amps PhaseA</t>
  </si>
  <si>
    <t>Phase A Current</t>
  </si>
  <si>
    <t>AphB</t>
  </si>
  <si>
    <t>Not Implemented: 0x7FC00000 (NaN)</t>
  </si>
  <si>
    <t>Amps PhaseB</t>
  </si>
  <si>
    <t>Phase B Current</t>
  </si>
  <si>
    <t>AphC</t>
  </si>
  <si>
    <t>Amps PhaseC</t>
  </si>
  <si>
    <t>Phase C Current</t>
  </si>
  <si>
    <t>PhV</t>
  </si>
  <si>
    <t>V</t>
  </si>
  <si>
    <t>Voltage LN</t>
  </si>
  <si>
    <t>Line to Neutral AC Voltage (average of active phases)</t>
  </si>
  <si>
    <t>PhVphA</t>
  </si>
  <si>
    <t>Phase Voltage AN</t>
  </si>
  <si>
    <t>PhVphB</t>
  </si>
  <si>
    <t>Phase Voltage BN</t>
  </si>
  <si>
    <t>PhVphC</t>
  </si>
  <si>
    <t>Phase Voltage CN</t>
  </si>
  <si>
    <t>PPV</t>
  </si>
  <si>
    <t>Voltage LL</t>
  </si>
  <si>
    <t>Line to Line AC Voltage (average of active phases)</t>
  </si>
  <si>
    <t>PPVphAB</t>
  </si>
  <si>
    <t>Phase Voltage AB</t>
  </si>
  <si>
    <t>PPVphBC</t>
  </si>
  <si>
    <t>Phase Voltage BC</t>
  </si>
  <si>
    <t>PPVphCA</t>
  </si>
  <si>
    <t>Phase Voltage CA</t>
  </si>
  <si>
    <t>Hz</t>
  </si>
  <si>
    <t>Frequency</t>
  </si>
  <si>
    <t>W</t>
  </si>
  <si>
    <t>Watts</t>
  </si>
  <si>
    <t>Total Real Power</t>
  </si>
  <si>
    <t>WphA</t>
  </si>
  <si>
    <t>Watts phase A</t>
  </si>
  <si>
    <t>WphB</t>
  </si>
  <si>
    <t>Watts phase B</t>
  </si>
  <si>
    <t>WphC</t>
  </si>
  <si>
    <t>Watts phase C</t>
  </si>
  <si>
    <t>VA</t>
  </si>
  <si>
    <t>AC Apparent Power</t>
  </si>
  <si>
    <t>VAphA</t>
  </si>
  <si>
    <t>VA phase A</t>
  </si>
  <si>
    <t>VAphB</t>
  </si>
  <si>
    <t>VA phase B</t>
  </si>
  <si>
    <t>VAphC</t>
  </si>
  <si>
    <t>VA phase C</t>
  </si>
  <si>
    <t>VAR</t>
  </si>
  <si>
    <t>var</t>
  </si>
  <si>
    <t>Reactive Power</t>
  </si>
  <si>
    <t>VARphA</t>
  </si>
  <si>
    <t>VAR phase A</t>
  </si>
  <si>
    <t>VARphB</t>
  </si>
  <si>
    <t>VAR phase B</t>
  </si>
  <si>
    <t>VARphC</t>
  </si>
  <si>
    <t>VAR phase C</t>
  </si>
  <si>
    <t>PF</t>
  </si>
  <si>
    <t>Power Factor</t>
  </si>
  <si>
    <t>PFphA</t>
  </si>
  <si>
    <t>PF phase A</t>
  </si>
  <si>
    <t>PFphB</t>
  </si>
  <si>
    <t>PF phase B</t>
  </si>
  <si>
    <t>PFphC</t>
  </si>
  <si>
    <t>PF phase C</t>
  </si>
  <si>
    <t>TotWhExp</t>
  </si>
  <si>
    <t>Wh</t>
  </si>
  <si>
    <t>Total Watt-hours Exported</t>
  </si>
  <si>
    <t>Total Real Energy Exported</t>
  </si>
  <si>
    <t>TotWhExpPhA</t>
  </si>
  <si>
    <t>Total Watt-hours Exported phase A</t>
  </si>
  <si>
    <t>TotWhExpPhB</t>
  </si>
  <si>
    <t>Total Watt-hours Exported phase B</t>
  </si>
  <si>
    <t>TotWhExpPhC</t>
  </si>
  <si>
    <t>Total Watt-hours Exported phase C</t>
  </si>
  <si>
    <t>TotWhImp</t>
  </si>
  <si>
    <t>Total Watt-hours Imported</t>
  </si>
  <si>
    <t>Total Real Energy Imported</t>
  </si>
  <si>
    <t>TotWhImpPhA</t>
  </si>
  <si>
    <t>Total Watt-hours Imported phase A</t>
  </si>
  <si>
    <t>TotWhImpPhB</t>
  </si>
  <si>
    <t>Total Watt-hours Imported phase B</t>
  </si>
  <si>
    <t>TotWhImpPhC</t>
  </si>
  <si>
    <t>Total Watt-hours Imported phase C</t>
  </si>
  <si>
    <t>TotVAhExp</t>
  </si>
  <si>
    <t>VAh</t>
  </si>
  <si>
    <t>Total VA-hours Exported</t>
  </si>
  <si>
    <t>Total Apparent Energy Exported</t>
  </si>
  <si>
    <t>TotVAhExpPhA</t>
  </si>
  <si>
    <t>Total VA-hours Exported phase A</t>
  </si>
  <si>
    <t>TotVAhExpPhB</t>
  </si>
  <si>
    <t>Total VA-hours Exported phase B</t>
  </si>
  <si>
    <t>TotVAhExpPhC</t>
  </si>
  <si>
    <t>Total VA-hours Exported phase C</t>
  </si>
  <si>
    <t>TotVAhImp</t>
  </si>
  <si>
    <t>Total VA-hours Imported</t>
  </si>
  <si>
    <t>Total Apparent Energy Imported</t>
  </si>
  <si>
    <t>TotVAhImpPhA</t>
  </si>
  <si>
    <t>Total VA-hours Imported phase A</t>
  </si>
  <si>
    <t>TotVAhImpPhB</t>
  </si>
  <si>
    <t>Total VA-hours Imported phase B</t>
  </si>
  <si>
    <t>TotVAhImpPhC</t>
  </si>
  <si>
    <t>Total VA-hours Imported phase C</t>
  </si>
  <si>
    <t>TotVArhImpQ1</t>
  </si>
  <si>
    <t>varh</t>
  </si>
  <si>
    <t>Total VAR-hours Imported Q1</t>
  </si>
  <si>
    <t>Total Reactive Energy Imported Quadrant 1</t>
  </si>
  <si>
    <t>TotVArhImpQ1phA</t>
  </si>
  <si>
    <t>Total VAr-hours Imported Q1 phase A</t>
  </si>
  <si>
    <t>TotVArhImpQ1phB</t>
  </si>
  <si>
    <t>Total VAr-hours Imported Q1 phase B</t>
  </si>
  <si>
    <t>TotVArhImpQ1phC</t>
  </si>
  <si>
    <t>Total VAr-hours Imported Q1 phase C</t>
  </si>
  <si>
    <t>TotVArhImpQ2</t>
  </si>
  <si>
    <t>Total VAr-hours Imported Q2</t>
  </si>
  <si>
    <t>Total Reactive Power Imported Quadrant 2</t>
  </si>
  <si>
    <t>TotVArhImpQ2phA</t>
  </si>
  <si>
    <t>Total VAr-hours Imported Q2 phase A</t>
  </si>
  <si>
    <t>TotVArhImpQ2phB</t>
  </si>
  <si>
    <t>Total VAr-hours Imported Q2 phase B</t>
  </si>
  <si>
    <t>TotVArhImpQ2phC</t>
  </si>
  <si>
    <t>Total VAr-hours Imported Q2 phase C</t>
  </si>
  <si>
    <t>TotVArhExpQ3</t>
  </si>
  <si>
    <t>Total VAr-hours Exported Q3</t>
  </si>
  <si>
    <t>Total Reactive Power Exported Quadrant 3</t>
  </si>
  <si>
    <t>TotVArhExpQ3phA</t>
  </si>
  <si>
    <t>Total VAr-hours Exported Q3 phase A</t>
  </si>
  <si>
    <t>TotVArhExpQ3phB</t>
  </si>
  <si>
    <t>Total VAr-hours Exported Q3 phase B</t>
  </si>
  <si>
    <t>TotVArhExpQ3phC</t>
  </si>
  <si>
    <t>Total VAr-hours Exported Q3 phase C</t>
  </si>
  <si>
    <t>TotVArhExpQ4</t>
  </si>
  <si>
    <t>Total VAr-hours Exported Q4</t>
  </si>
  <si>
    <t>Total Reactive Power Exported Quadrant 4</t>
  </si>
  <si>
    <t>TotVArhExpQ4phA</t>
  </si>
  <si>
    <t>Total VAr-hours Exported Q4 Imported phase A</t>
  </si>
  <si>
    <t>TotVArhExpQ4phB</t>
  </si>
  <si>
    <t>Total VAr-hours Exported Q4 Imported phase B</t>
  </si>
  <si>
    <t>TotVArhExpQ4phC</t>
  </si>
  <si>
    <t>Total VAr-hours Exported Q4 Imported phase C</t>
  </si>
  <si>
    <t>Evt</t>
  </si>
  <si>
    <t>bitfield32</t>
  </si>
  <si>
    <t>Events</t>
  </si>
  <si>
    <t>Meter Event Flags</t>
  </si>
  <si>
    <t>M_EVENT_Power_Failure</t>
  </si>
  <si>
    <t>M_EVENT_Under_Voltage</t>
  </si>
  <si>
    <t>M_EVENT_Low_PF</t>
  </si>
  <si>
    <t>M_EVENT_Over_Current</t>
  </si>
  <si>
    <t>M_EVENT_Over_Voltage</t>
  </si>
  <si>
    <t>M_EVENT_Missing_Sensor</t>
  </si>
  <si>
    <t>M_EVENT_Reserved1</t>
  </si>
  <si>
    <t>M_EVENT_Reserved2</t>
  </si>
  <si>
    <t>M_EVENT_Reserved3</t>
  </si>
  <si>
    <t>M_EVENT_Reserved4</t>
  </si>
  <si>
    <t>M_EVENT_Reserved5</t>
  </si>
  <si>
    <t>M_EVENT_Reserved6</t>
  </si>
  <si>
    <t>M_EVENT_Reserved7</t>
  </si>
  <si>
    <t>M_EVENT_Reserved8</t>
  </si>
  <si>
    <t>M_EVENT_OEM01</t>
  </si>
  <si>
    <t>M_EVENT_OEM02</t>
  </si>
  <si>
    <t>M_EVENT_OEM03</t>
  </si>
  <si>
    <t>M_EVENT_OEM04</t>
  </si>
  <si>
    <t>M_EVENT_OEM05</t>
  </si>
  <si>
    <t>M_EVENT_OEM06</t>
  </si>
  <si>
    <t>M_EVENT_OEM07</t>
  </si>
  <si>
    <t>M_EVENT_OEM08</t>
  </si>
  <si>
    <t>M_EVENT_OEM09</t>
  </si>
  <si>
    <t>M_EVENT_OEM10</t>
  </si>
  <si>
    <t>M_EVENT_OEM11</t>
  </si>
  <si>
    <t>M_EVENT_OEM12</t>
  </si>
  <si>
    <t>M_EVENT_OEM13</t>
  </si>
  <si>
    <t>M_EVENT_OEM14</t>
  </si>
  <si>
    <t>M_EVENT_OEM15</t>
  </si>
  <si>
    <r>
      <t xml:space="preserve">Total AC Current </t>
    </r>
    <r>
      <rPr>
        <b/>
        <sz val="11"/>
        <color rgb="FFFF0000"/>
        <rFont val="Calibri"/>
        <family val="2"/>
      </rPr>
      <t>(nota: I1+I2+I3)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</si>
</sst>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name val="Calibri"/>
    </font>
    <font>
      <b/>
      <sz val="11"/>
      <name val="Calibri"/>
    </font>
    <font>
      <u/>
      <sz val="11"/>
      <color rgb="FF0000EE"/>
      <name val="Calibri"/>
    </font>
    <font>
      <u/>
      <sz val="11"/>
      <color theme="10"/>
      <name val="Calibri"/>
      <family val="2"/>
      <scheme val="minor"/>
    </font>
    <font>
      <b/>
      <sz val="11"/>
      <color theme="1"/>
      <name val="Calibri"/>
      <family val="2"/>
      <scheme val="minor"/>
    </font>
    <font>
      <sz val="18"/>
      <color theme="1"/>
      <name val="Calibri"/>
      <family val="2"/>
      <scheme val="minor"/>
    </font>
    <font>
      <u/>
      <sz val="18"/>
      <color theme="10"/>
      <name val="Calibri"/>
      <family val="2"/>
      <scheme val="minor"/>
    </font>
    <font>
      <b/>
      <sz val="18"/>
      <color theme="1"/>
      <name val="Calibri"/>
      <family val="2"/>
      <scheme val="minor"/>
    </font>
    <font>
      <b/>
      <sz val="14"/>
      <color theme="1"/>
      <name val="Calibri"/>
      <family val="2"/>
      <scheme val="minor"/>
    </font>
    <font>
      <b/>
      <sz val="9"/>
      <color indexed="81"/>
      <name val="Tahoma"/>
      <charset val="1"/>
    </font>
    <font>
      <strike/>
      <sz val="11"/>
      <name val="Calibri"/>
      <family val="2"/>
    </font>
    <font>
      <b/>
      <sz val="9"/>
      <color indexed="81"/>
      <name val="Tahoma"/>
      <family val="2"/>
    </font>
    <font>
      <b/>
      <sz val="11"/>
      <color rgb="FFFF0000"/>
      <name val="Calibri"/>
      <family val="2"/>
    </font>
    <font>
      <b/>
      <sz val="11"/>
      <color rgb="FFFF0000"/>
      <name val="Calibri"/>
      <family val="2"/>
      <scheme val="minor"/>
    </font>
    <font>
      <sz val="11"/>
      <name val="Calibri"/>
      <family val="2"/>
    </font>
    <font>
      <b/>
      <sz val="11"/>
      <color rgb="FFFF0000"/>
      <name val="Calibri"/>
    </font>
  </fonts>
  <fills count="8">
    <fill>
      <patternFill patternType="none"/>
    </fill>
    <fill>
      <patternFill patternType="gray125"/>
    </fill>
    <fill>
      <patternFill patternType="solid">
        <fgColor rgb="FFB8CCE4"/>
      </patternFill>
    </fill>
    <fill>
      <patternFill patternType="solid">
        <fgColor rgb="FFDCE6F1"/>
      </patternFill>
    </fill>
    <fill>
      <patternFill patternType="solid">
        <fgColor rgb="FFDDDDDD"/>
      </patternFill>
    </fill>
    <fill>
      <patternFill patternType="solid">
        <fgColor rgb="FFFAFAFA"/>
      </patternFill>
    </fill>
    <fill>
      <patternFill patternType="solid">
        <fgColor rgb="FFFFFFFF"/>
      </patternFill>
    </fill>
    <fill>
      <patternFill patternType="solid">
        <fgColor rgb="FFFFFF00"/>
        <bgColor indexed="64"/>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right style="thin">
        <color rgb="FF999999"/>
      </right>
      <top style="thin">
        <color rgb="FF999999"/>
      </top>
      <bottom style="thin">
        <color rgb="FF999999"/>
      </bottom>
      <diagonal/>
    </border>
  </borders>
  <cellStyleXfs count="13">
    <xf numFmtId="0" fontId="0" fillId="0" borderId="0"/>
    <xf numFmtId="0" fontId="1" fillId="2" borderId="1">
      <alignment horizontal="center" wrapText="1"/>
    </xf>
    <xf numFmtId="0" fontId="1" fillId="2" borderId="1">
      <alignment horizontal="left" wrapText="1"/>
    </xf>
    <xf numFmtId="0" fontId="1" fillId="3" borderId="1">
      <alignment horizontal="center" wrapText="1"/>
    </xf>
    <xf numFmtId="0" fontId="1" fillId="3" borderId="1">
      <alignment horizontal="left" wrapText="1"/>
    </xf>
    <xf numFmtId="0" fontId="2" fillId="4" borderId="1">
      <alignment horizontal="center" wrapText="1"/>
    </xf>
    <xf numFmtId="0" fontId="1" fillId="5" borderId="1">
      <alignment horizontal="center" wrapText="1"/>
    </xf>
    <xf numFmtId="0" fontId="1" fillId="5" borderId="1">
      <alignment horizontal="left" wrapText="1"/>
    </xf>
    <xf numFmtId="0" fontId="1" fillId="4" borderId="1">
      <alignment horizontal="left" wrapText="1"/>
    </xf>
    <xf numFmtId="0" fontId="1" fillId="6" borderId="1">
      <alignment horizontal="center" wrapText="1"/>
    </xf>
    <xf numFmtId="0" fontId="1" fillId="0" borderId="0">
      <alignment horizontal="left" wrapText="1"/>
    </xf>
    <xf numFmtId="0" fontId="3" fillId="0" borderId="0">
      <alignment horizontal="left" wrapText="1"/>
    </xf>
    <xf numFmtId="0" fontId="4" fillId="0" borderId="0" applyNumberFormat="0" applyFill="0" applyBorder="0" applyAlignment="0" applyProtection="0"/>
  </cellStyleXfs>
  <cellXfs count="41">
    <xf numFmtId="0" fontId="0" fillId="0" borderId="0" xfId="0"/>
    <xf numFmtId="0" fontId="2" fillId="4" borderId="1" xfId="5">
      <alignment horizontal="center" wrapText="1"/>
    </xf>
    <xf numFmtId="0" fontId="1" fillId="6" borderId="1" xfId="9">
      <alignment horizontal="center" wrapText="1"/>
    </xf>
    <xf numFmtId="0" fontId="3" fillId="0" borderId="0" xfId="11">
      <alignment horizontal="left" wrapText="1"/>
    </xf>
    <xf numFmtId="0" fontId="1" fillId="0" borderId="0" xfId="10">
      <alignment horizontal="left" wrapText="1"/>
    </xf>
    <xf numFmtId="0" fontId="1" fillId="2" borderId="1" xfId="1">
      <alignment horizontal="center" wrapText="1"/>
    </xf>
    <xf numFmtId="0" fontId="1" fillId="2" borderId="1" xfId="2">
      <alignment horizontal="left" wrapText="1"/>
    </xf>
    <xf numFmtId="0" fontId="1" fillId="3" borderId="1" xfId="3">
      <alignment horizontal="center" wrapText="1"/>
    </xf>
    <xf numFmtId="0" fontId="1" fillId="3" borderId="1" xfId="4">
      <alignment horizontal="left" wrapText="1"/>
    </xf>
    <xf numFmtId="0" fontId="1" fillId="5" borderId="1" xfId="6">
      <alignment horizontal="center" wrapText="1"/>
    </xf>
    <xf numFmtId="0" fontId="1" fillId="5" borderId="1" xfId="7">
      <alignment horizontal="left" wrapText="1"/>
    </xf>
    <xf numFmtId="0" fontId="6" fillId="0" borderId="0" xfId="0" applyFont="1"/>
    <xf numFmtId="0" fontId="7" fillId="0" borderId="0" xfId="12" applyFont="1"/>
    <xf numFmtId="0" fontId="0" fillId="0" borderId="0" xfId="0" applyAlignment="1">
      <alignment wrapText="1"/>
    </xf>
    <xf numFmtId="0" fontId="8" fillId="0" borderId="0" xfId="0" applyFont="1"/>
    <xf numFmtId="0" fontId="5" fillId="0" borderId="0" xfId="0" applyFont="1"/>
    <xf numFmtId="0" fontId="0" fillId="0" borderId="0" xfId="0" applyAlignment="1">
      <alignment horizontal="left"/>
    </xf>
    <xf numFmtId="0" fontId="9" fillId="0" borderId="0" xfId="0" applyFont="1"/>
    <xf numFmtId="0" fontId="0" fillId="0" borderId="0" xfId="0" applyAlignment="1">
      <alignment horizontal="center"/>
    </xf>
    <xf numFmtId="0" fontId="2" fillId="4" borderId="3" xfId="5" applyBorder="1">
      <alignment horizontal="center" wrapText="1"/>
    </xf>
    <xf numFmtId="0" fontId="1" fillId="2" borderId="3" xfId="1" applyBorder="1">
      <alignment horizontal="center" wrapText="1"/>
    </xf>
    <xf numFmtId="0" fontId="1" fillId="3" borderId="3" xfId="3" applyBorder="1">
      <alignment horizontal="center" wrapText="1"/>
    </xf>
    <xf numFmtId="0" fontId="11" fillId="3" borderId="3" xfId="3" applyFont="1" applyBorder="1">
      <alignment horizontal="center" wrapText="1"/>
    </xf>
    <xf numFmtId="0" fontId="11" fillId="3" borderId="1" xfId="3" applyFont="1">
      <alignment horizontal="center" wrapText="1"/>
    </xf>
    <xf numFmtId="0" fontId="11" fillId="3" borderId="1" xfId="4" applyFont="1">
      <alignment horizontal="left" wrapText="1"/>
    </xf>
    <xf numFmtId="0" fontId="13" fillId="3" borderId="1" xfId="3" applyFont="1">
      <alignment horizontal="center" wrapText="1"/>
    </xf>
    <xf numFmtId="0" fontId="5" fillId="0" borderId="2" xfId="0" applyFont="1" applyBorder="1" applyAlignment="1">
      <alignment horizontal="center"/>
    </xf>
    <xf numFmtId="0" fontId="14" fillId="0" borderId="2" xfId="0" applyFont="1" applyBorder="1" applyAlignment="1">
      <alignment horizontal="center"/>
    </xf>
    <xf numFmtId="0" fontId="14" fillId="0" borderId="2" xfId="0" applyFont="1" applyBorder="1" applyAlignment="1">
      <alignment horizontal="center" vertical="top"/>
    </xf>
    <xf numFmtId="0" fontId="1" fillId="3" borderId="1" xfId="3" applyAlignment="1">
      <alignment horizontal="center" vertical="top" wrapText="1"/>
    </xf>
    <xf numFmtId="0" fontId="1" fillId="3" borderId="1" xfId="4" applyAlignment="1">
      <alignment horizontal="left" vertical="top" wrapText="1"/>
    </xf>
    <xf numFmtId="0" fontId="0" fillId="0" borderId="0" xfId="0" applyAlignment="1">
      <alignment vertical="top"/>
    </xf>
    <xf numFmtId="0" fontId="13" fillId="3" borderId="1" xfId="3" applyFont="1" applyAlignment="1">
      <alignment horizontal="center" vertical="top" wrapText="1"/>
    </xf>
    <xf numFmtId="0" fontId="15" fillId="3" borderId="1" xfId="4" applyFont="1">
      <alignment horizontal="left" wrapText="1"/>
    </xf>
    <xf numFmtId="0" fontId="16" fillId="3" borderId="1" xfId="3" applyFont="1" applyAlignment="1">
      <alignment horizontal="center" vertical="top" wrapText="1"/>
    </xf>
    <xf numFmtId="0" fontId="13" fillId="7" borderId="1" xfId="3" applyFont="1" applyFill="1">
      <alignment horizontal="center" wrapText="1"/>
    </xf>
    <xf numFmtId="0" fontId="13" fillId="7" borderId="1" xfId="3" applyFont="1" applyFill="1" applyAlignment="1">
      <alignment horizontal="center" vertical="top" wrapText="1"/>
    </xf>
    <xf numFmtId="0" fontId="4" fillId="0" borderId="0" xfId="12" applyAlignment="1"/>
    <xf numFmtId="0" fontId="5" fillId="0" borderId="2" xfId="0" applyFont="1" applyBorder="1" applyAlignment="1">
      <alignment horizontal="center" vertical="center" wrapText="1"/>
    </xf>
    <xf numFmtId="0" fontId="15" fillId="3" borderId="3" xfId="3" applyFont="1" applyBorder="1">
      <alignment horizontal="center" wrapText="1"/>
    </xf>
    <xf numFmtId="0" fontId="15" fillId="3" borderId="1" xfId="3" applyFont="1">
      <alignment horizontal="center" wrapText="1"/>
    </xf>
  </cellXfs>
  <cellStyles count="13">
    <cellStyle name="Collegamento ipertestuale" xfId="12" builtinId="8"/>
    <cellStyle name="Normale" xfId="0" builtinId="0"/>
    <cellStyle name="suns_comment" xfId="8" xr:uid="{00000000-0005-0000-0000-00001E000000}"/>
    <cellStyle name="suns_entry" xfId="9" xr:uid="{00000000-0005-0000-0000-00001F000000}"/>
    <cellStyle name="suns_group_entry_1" xfId="1" xr:uid="{00000000-0005-0000-0000-000001000000}"/>
    <cellStyle name="suns_group_text_1" xfId="2" xr:uid="{00000000-0005-0000-0000-000002000000}"/>
    <cellStyle name="suns_hdr" xfId="5" xr:uid="{00000000-0005-0000-0000-000015000000}"/>
    <cellStyle name="suns_hyper" xfId="11" xr:uid="{00000000-0005-0000-0000-000021000000}"/>
    <cellStyle name="suns_point_entry_1" xfId="3" xr:uid="{00000000-0005-0000-0000-000003000000}"/>
    <cellStyle name="suns_point_text_1" xfId="4" xr:uid="{00000000-0005-0000-0000-000004000000}"/>
    <cellStyle name="suns_symbol_entry" xfId="6" xr:uid="{00000000-0005-0000-0000-00001C000000}"/>
    <cellStyle name="suns_symbol_text" xfId="7" xr:uid="{00000000-0005-0000-0000-00001D000000}"/>
    <cellStyle name="suns_text" xfId="10" xr:uid="{00000000-0005-0000-0000-000020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Samuel Lazzaro" id="{379A10DE-1E9F-485F-B393-F6EE8BD25DC3}" userId="S::Samuel.Lazzaro@gavazziacbu.it::a23e4c20-3163-405c-af4d-ab31da24808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 dT="2024-11-27T15:58:00.61" personId="{379A10DE-1E9F-485F-B393-F6EE8BD25DC3}" id="{5746F84D-4CED-47D9-88FF-D969B09433C6}">
    <text>Deve partire da 40002 e non da 40000 in quanto a 40000 devono essere inseriti i 2 valori 0x5375 e 0x6E53 (valore hex della stringa ASCII “SunS”). Vedi paragrafo 6.1.1 di SunSpec-Device-Information-Model-Specificiation-V1-1-final.pdf</text>
  </threadedComment>
  <threadedComment ref="F4" dT="2024-11-27T15:58:35.32" personId="{379A10DE-1E9F-485F-B393-F6EE8BD25DC3}" id="{19BB5CD1-6391-461D-B109-BA4768C5C8F0}">
    <text>Deve essere pari a 65 o al massimo a 66 se si vuole pari,  ma non a 64 in quanto non funziona.</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nspec.org/sunspec-specification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sunspec.org/sunspec-certification-application/" TargetMode="External"/><Relationship Id="rId2" Type="http://schemas.openxmlformats.org/officeDocument/2006/relationships/hyperlink" Target="https://github.com/sunspec/models" TargetMode="External"/><Relationship Id="rId1" Type="http://schemas.openxmlformats.org/officeDocument/2006/relationships/hyperlink" Target="https://sunspec.org/sunspec-specifications/" TargetMode="External"/><Relationship Id="rId5" Type="http://schemas.openxmlformats.org/officeDocument/2006/relationships/hyperlink" Target="https://sunspec.org/sunspec-certification-application/" TargetMode="External"/><Relationship Id="rId4" Type="http://schemas.openxmlformats.org/officeDocument/2006/relationships/hyperlink" Target="https://sunspec.org/sunspec-specification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AEB8E-DA0F-4D7C-B20F-399615B10D2B}">
  <dimension ref="A1:A19"/>
  <sheetViews>
    <sheetView showGridLines="0" workbookViewId="0">
      <selection activeCell="A7" sqref="A7"/>
    </sheetView>
  </sheetViews>
  <sheetFormatPr defaultRowHeight="14.5" x14ac:dyDescent="0.35"/>
  <cols>
    <col min="1" max="1" width="100.7265625" customWidth="1"/>
  </cols>
  <sheetData>
    <row r="1" spans="1:1" ht="23.5" x14ac:dyDescent="0.55000000000000004">
      <c r="A1" s="11"/>
    </row>
    <row r="2" spans="1:1" ht="23.5" x14ac:dyDescent="0.55000000000000004">
      <c r="A2" s="11" t="s">
        <v>0</v>
      </c>
    </row>
    <row r="3" spans="1:1" ht="23.5" x14ac:dyDescent="0.55000000000000004">
      <c r="A3" s="11" t="s">
        <v>1</v>
      </c>
    </row>
    <row r="4" spans="1:1" ht="23.5" x14ac:dyDescent="0.55000000000000004">
      <c r="A4" s="11" t="s">
        <v>2</v>
      </c>
    </row>
    <row r="5" spans="1:1" ht="23.5" x14ac:dyDescent="0.55000000000000004">
      <c r="A5" s="11"/>
    </row>
    <row r="6" spans="1:1" ht="23.5" x14ac:dyDescent="0.55000000000000004">
      <c r="A6" s="11" t="s">
        <v>3</v>
      </c>
    </row>
    <row r="7" spans="1:1" ht="23.5" x14ac:dyDescent="0.55000000000000004">
      <c r="A7" s="12" t="s">
        <v>4</v>
      </c>
    </row>
    <row r="8" spans="1:1" x14ac:dyDescent="0.35">
      <c r="A8" s="13"/>
    </row>
    <row r="9" spans="1:1" x14ac:dyDescent="0.35">
      <c r="A9" s="13"/>
    </row>
    <row r="10" spans="1:1" x14ac:dyDescent="0.35">
      <c r="A10" s="13" t="s">
        <v>5</v>
      </c>
    </row>
    <row r="11" spans="1:1" ht="58" x14ac:dyDescent="0.35">
      <c r="A11" s="13" t="s">
        <v>6</v>
      </c>
    </row>
    <row r="12" spans="1:1" x14ac:dyDescent="0.35">
      <c r="A12" s="13"/>
    </row>
    <row r="13" spans="1:1" ht="43.5" x14ac:dyDescent="0.35">
      <c r="A13" s="13" t="s">
        <v>7</v>
      </c>
    </row>
    <row r="14" spans="1:1" x14ac:dyDescent="0.35">
      <c r="A14" s="13"/>
    </row>
    <row r="15" spans="1:1" x14ac:dyDescent="0.35">
      <c r="A15" s="13" t="s">
        <v>8</v>
      </c>
    </row>
    <row r="16" spans="1:1" x14ac:dyDescent="0.35">
      <c r="A16" s="13" t="s">
        <v>9</v>
      </c>
    </row>
    <row r="17" spans="1:1" x14ac:dyDescent="0.35">
      <c r="A17" s="13" t="s">
        <v>10</v>
      </c>
    </row>
    <row r="18" spans="1:1" x14ac:dyDescent="0.35">
      <c r="A18" s="13" t="s">
        <v>11</v>
      </c>
    </row>
    <row r="19" spans="1:1" x14ac:dyDescent="0.35">
      <c r="A19" s="13" t="s">
        <v>12</v>
      </c>
    </row>
  </sheetData>
  <hyperlinks>
    <hyperlink ref="A7" r:id="rId1" display="For the most up-to-date version of this document, go to: www.sunspec.org/download" xr:uid="{BE718338-1D45-4181-8452-C9D686A26A1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F4E11-09CC-4A6C-8CA0-12F0E3FB280C}">
  <dimension ref="A2:E39"/>
  <sheetViews>
    <sheetView showGridLines="0" topLeftCell="A3" workbookViewId="0">
      <selection activeCell="A28" sqref="A28:D28"/>
    </sheetView>
  </sheetViews>
  <sheetFormatPr defaultRowHeight="14.5" x14ac:dyDescent="0.35"/>
  <cols>
    <col min="1" max="1" width="12.7265625" customWidth="1"/>
  </cols>
  <sheetData>
    <row r="2" spans="1:2" ht="23.5" x14ac:dyDescent="0.55000000000000004">
      <c r="A2" s="14" t="s">
        <v>13</v>
      </c>
    </row>
    <row r="4" spans="1:2" x14ac:dyDescent="0.35">
      <c r="A4" t="s">
        <v>14</v>
      </c>
    </row>
    <row r="5" spans="1:2" x14ac:dyDescent="0.35">
      <c r="A5" t="s">
        <v>15</v>
      </c>
    </row>
    <row r="7" spans="1:2" x14ac:dyDescent="0.35">
      <c r="A7" s="15" t="s">
        <v>16</v>
      </c>
      <c r="B7" s="15" t="s">
        <v>17</v>
      </c>
    </row>
    <row r="8" spans="1:2" x14ac:dyDescent="0.35">
      <c r="A8" s="16">
        <v>1</v>
      </c>
      <c r="B8" s="16" t="s">
        <v>18</v>
      </c>
    </row>
    <row r="9" spans="1:2" x14ac:dyDescent="0.35">
      <c r="A9" s="16">
        <v>2</v>
      </c>
      <c r="B9" s="16" t="s">
        <v>19</v>
      </c>
    </row>
    <row r="10" spans="1:2" x14ac:dyDescent="0.35">
      <c r="A10" s="16" t="s">
        <v>20</v>
      </c>
      <c r="B10" s="16" t="s">
        <v>21</v>
      </c>
    </row>
    <row r="11" spans="1:2" x14ac:dyDescent="0.35">
      <c r="A11" s="16" t="s">
        <v>22</v>
      </c>
      <c r="B11" s="16" t="s">
        <v>23</v>
      </c>
    </row>
    <row r="12" spans="1:2" x14ac:dyDescent="0.35">
      <c r="A12" s="16" t="s">
        <v>24</v>
      </c>
      <c r="B12" s="16" t="s">
        <v>25</v>
      </c>
    </row>
    <row r="13" spans="1:2" x14ac:dyDescent="0.35">
      <c r="A13" s="16" t="s">
        <v>26</v>
      </c>
      <c r="B13" s="16" t="s">
        <v>27</v>
      </c>
    </row>
    <row r="14" spans="1:2" x14ac:dyDescent="0.35">
      <c r="A14" s="16" t="s">
        <v>28</v>
      </c>
      <c r="B14" s="16" t="s">
        <v>29</v>
      </c>
    </row>
    <row r="15" spans="1:2" x14ac:dyDescent="0.35">
      <c r="A15" s="16" t="s">
        <v>30</v>
      </c>
      <c r="B15" s="16" t="s">
        <v>31</v>
      </c>
    </row>
    <row r="16" spans="1:2" x14ac:dyDescent="0.35">
      <c r="A16" s="16" t="s">
        <v>32</v>
      </c>
      <c r="B16" s="16" t="s">
        <v>33</v>
      </c>
    </row>
    <row r="17" spans="1:4" x14ac:dyDescent="0.35">
      <c r="A17" s="16" t="s">
        <v>34</v>
      </c>
      <c r="B17" s="16" t="s">
        <v>35</v>
      </c>
    </row>
    <row r="18" spans="1:4" x14ac:dyDescent="0.35">
      <c r="A18" s="16" t="s">
        <v>36</v>
      </c>
      <c r="B18" s="16" t="s">
        <v>37</v>
      </c>
    </row>
    <row r="19" spans="1:4" x14ac:dyDescent="0.35">
      <c r="A19" s="16" t="s">
        <v>38</v>
      </c>
      <c r="B19" s="16" t="s">
        <v>39</v>
      </c>
    </row>
    <row r="20" spans="1:4" x14ac:dyDescent="0.35">
      <c r="A20" s="16" t="s">
        <v>40</v>
      </c>
      <c r="B20" s="16" t="s">
        <v>41</v>
      </c>
    </row>
    <row r="22" spans="1:4" x14ac:dyDescent="0.35">
      <c r="A22" t="s">
        <v>42</v>
      </c>
    </row>
    <row r="23" spans="1:4" x14ac:dyDescent="0.35">
      <c r="A23" t="s">
        <v>43</v>
      </c>
    </row>
    <row r="24" spans="1:4" x14ac:dyDescent="0.35">
      <c r="A24" t="s">
        <v>44</v>
      </c>
    </row>
    <row r="26" spans="1:4" ht="18.5" x14ac:dyDescent="0.45">
      <c r="A26" s="17" t="s">
        <v>45</v>
      </c>
    </row>
    <row r="27" spans="1:4" x14ac:dyDescent="0.35">
      <c r="A27" t="s">
        <v>46</v>
      </c>
    </row>
    <row r="28" spans="1:4" x14ac:dyDescent="0.35">
      <c r="A28" s="37" t="s">
        <v>47</v>
      </c>
      <c r="B28" s="37"/>
      <c r="C28" s="37"/>
      <c r="D28" s="37"/>
    </row>
    <row r="29" spans="1:4" x14ac:dyDescent="0.35">
      <c r="A29" s="15" t="s">
        <v>48</v>
      </c>
    </row>
    <row r="31" spans="1:4" ht="18.5" x14ac:dyDescent="0.45">
      <c r="A31" s="17" t="s">
        <v>49</v>
      </c>
    </row>
    <row r="32" spans="1:4" x14ac:dyDescent="0.35">
      <c r="A32" t="s">
        <v>50</v>
      </c>
    </row>
    <row r="33" spans="1:5" x14ac:dyDescent="0.35">
      <c r="A33" s="37" t="s">
        <v>51</v>
      </c>
      <c r="B33" s="37"/>
      <c r="C33" s="37"/>
      <c r="D33" s="37"/>
      <c r="E33" s="37"/>
    </row>
    <row r="35" spans="1:5" ht="18.5" x14ac:dyDescent="0.45">
      <c r="A35" s="17" t="s">
        <v>52</v>
      </c>
    </row>
    <row r="36" spans="1:5" x14ac:dyDescent="0.35">
      <c r="A36" t="s">
        <v>53</v>
      </c>
    </row>
    <row r="37" spans="1:5" x14ac:dyDescent="0.35">
      <c r="A37" s="37" t="s">
        <v>54</v>
      </c>
      <c r="B37" s="37"/>
      <c r="C37" s="37"/>
      <c r="D37" s="37"/>
      <c r="E37" s="37"/>
    </row>
    <row r="38" spans="1:5" x14ac:dyDescent="0.35">
      <c r="A38" t="s">
        <v>55</v>
      </c>
    </row>
    <row r="39" spans="1:5" x14ac:dyDescent="0.35">
      <c r="A39" t="s">
        <v>56</v>
      </c>
    </row>
  </sheetData>
  <mergeCells count="3">
    <mergeCell ref="A28:D28"/>
    <mergeCell ref="A33:E33"/>
    <mergeCell ref="A37:E37"/>
  </mergeCells>
  <hyperlinks>
    <hyperlink ref="A33" r:id="rId1" xr:uid="{991AD4D3-F9B5-4A5D-8228-54A49AEC2337}"/>
    <hyperlink ref="A28" r:id="rId2" xr:uid="{01AEC02E-6799-4E46-AB9E-863572446780}"/>
    <hyperlink ref="A37" r:id="rId3" xr:uid="{90954525-9E8D-4BB6-8365-3BB469CCF815}"/>
    <hyperlink ref="A33:E33" r:id="rId4" display="https://sunspec.org/sunspec-specifications/" xr:uid="{6DD653F9-F601-4AE1-B9E6-EF8C12B8480E}"/>
    <hyperlink ref="A37:E37" r:id="rId5" display="https://sunspec.org/sunspec-certification-application/" xr:uid="{1C13F637-79F3-4858-8C98-523249FB080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
  <sheetViews>
    <sheetView workbookViewId="0">
      <selection activeCell="B5" sqref="B5"/>
    </sheetView>
  </sheetViews>
  <sheetFormatPr defaultRowHeight="14.5" x14ac:dyDescent="0.35"/>
  <cols>
    <col min="2" max="2" width="30" customWidth="1"/>
    <col min="3" max="3" width="60" customWidth="1"/>
  </cols>
  <sheetData>
    <row r="1" spans="1:3" x14ac:dyDescent="0.35">
      <c r="A1" s="1" t="s">
        <v>57</v>
      </c>
      <c r="B1" s="1" t="s">
        <v>58</v>
      </c>
      <c r="C1" s="1" t="s">
        <v>59</v>
      </c>
    </row>
    <row r="2" spans="1:3" x14ac:dyDescent="0.35">
      <c r="A2" s="2" t="s">
        <v>60</v>
      </c>
      <c r="B2" s="3" t="s">
        <v>18</v>
      </c>
      <c r="C2" s="4" t="s">
        <v>61</v>
      </c>
    </row>
    <row r="3" spans="1:3" x14ac:dyDescent="0.35">
      <c r="A3" s="2" t="s">
        <v>62</v>
      </c>
      <c r="B3" s="3" t="s">
        <v>63</v>
      </c>
      <c r="C3" s="4"/>
    </row>
    <row r="4" spans="1:3" x14ac:dyDescent="0.35">
      <c r="A4" s="2" t="s">
        <v>64</v>
      </c>
      <c r="B4" s="3" t="s">
        <v>65</v>
      </c>
      <c r="C4" s="4"/>
    </row>
    <row r="5" spans="1:3" ht="29" x14ac:dyDescent="0.35">
      <c r="A5" s="2" t="s">
        <v>66</v>
      </c>
      <c r="B5" s="3" t="s">
        <v>67</v>
      </c>
      <c r="C5" s="4"/>
    </row>
    <row r="6" spans="1:3" ht="29" x14ac:dyDescent="0.35">
      <c r="A6" s="2" t="s">
        <v>68</v>
      </c>
      <c r="B6" s="3" t="s">
        <v>69</v>
      </c>
      <c r="C6" s="4"/>
    </row>
  </sheetData>
  <hyperlinks>
    <hyperlink ref="B2" location="1!A1" display="Common" xr:uid="{00000000-0004-0000-0000-000000000000}"/>
    <hyperlink ref="B3" location="211!A1" display="single phase (AN or AB) meter" xr:uid="{00000000-0004-0000-0000-000038000000}"/>
    <hyperlink ref="B4" location="212!A1" display="split single phase (ABN) meter" xr:uid="{00000000-0004-0000-0000-000039000000}"/>
    <hyperlink ref="B5" location="213!A1" display="wye-connect three phase (abcn) meter" xr:uid="{00000000-0004-0000-0000-00003A000000}"/>
    <hyperlink ref="B6" location="214!A1" display="delta-connect three phase (abc) meter" xr:uid="{00000000-0004-0000-0000-00003B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1"/>
  <sheetViews>
    <sheetView workbookViewId="0">
      <selection activeCell="A10" sqref="A10:A11"/>
    </sheetView>
  </sheetViews>
  <sheetFormatPr defaultRowHeight="14.5" x14ac:dyDescent="0.35"/>
  <cols>
    <col min="1" max="2" width="8.81640625" style="18"/>
    <col min="5" max="5" width="25" customWidth="1"/>
    <col min="6" max="14" width="12" customWidth="1"/>
    <col min="15" max="15" width="30" customWidth="1"/>
    <col min="16" max="16" width="60" customWidth="1"/>
  </cols>
  <sheetData>
    <row r="1" spans="1:16" ht="29" x14ac:dyDescent="0.35">
      <c r="A1" s="38" t="s">
        <v>70</v>
      </c>
      <c r="B1" s="38"/>
      <c r="C1" s="19" t="s">
        <v>71</v>
      </c>
      <c r="D1" s="1" t="s">
        <v>72</v>
      </c>
      <c r="E1" s="1" t="s">
        <v>73</v>
      </c>
      <c r="F1" s="1" t="s">
        <v>74</v>
      </c>
      <c r="G1" s="1" t="s">
        <v>75</v>
      </c>
      <c r="H1" s="1" t="s">
        <v>76</v>
      </c>
      <c r="I1" s="1" t="s">
        <v>77</v>
      </c>
      <c r="J1" s="1" t="s">
        <v>78</v>
      </c>
      <c r="K1" s="1" t="s">
        <v>79</v>
      </c>
      <c r="L1" s="1" t="s">
        <v>80</v>
      </c>
      <c r="M1" s="1" t="s">
        <v>81</v>
      </c>
      <c r="N1" s="1" t="s">
        <v>82</v>
      </c>
      <c r="O1" s="1" t="s">
        <v>58</v>
      </c>
      <c r="P1" s="1" t="s">
        <v>59</v>
      </c>
    </row>
    <row r="2" spans="1:16" x14ac:dyDescent="0.35">
      <c r="A2" s="26" t="s">
        <v>83</v>
      </c>
      <c r="B2" s="26" t="s">
        <v>84</v>
      </c>
      <c r="C2" s="20"/>
      <c r="D2" s="5"/>
      <c r="E2" s="5" t="s">
        <v>85</v>
      </c>
      <c r="F2" s="5"/>
      <c r="G2" s="5"/>
      <c r="H2" s="5" t="s">
        <v>86</v>
      </c>
      <c r="I2" s="5"/>
      <c r="J2" s="5"/>
      <c r="K2" s="5"/>
      <c r="L2" s="5"/>
      <c r="M2" s="5"/>
      <c r="N2" s="5"/>
      <c r="O2" s="6" t="s">
        <v>18</v>
      </c>
      <c r="P2" s="6" t="s">
        <v>61</v>
      </c>
    </row>
    <row r="3" spans="1:16" x14ac:dyDescent="0.35">
      <c r="A3" s="27" t="str">
        <f>DEC2HEX(B3)</f>
        <v>9C42</v>
      </c>
      <c r="B3" s="27">
        <v>40002</v>
      </c>
      <c r="C3" s="21">
        <v>0</v>
      </c>
      <c r="D3" s="7"/>
      <c r="E3" s="7" t="s">
        <v>87</v>
      </c>
      <c r="F3" s="7">
        <v>1</v>
      </c>
      <c r="G3" s="7"/>
      <c r="H3" s="7" t="s">
        <v>88</v>
      </c>
      <c r="I3" s="7"/>
      <c r="J3" s="7"/>
      <c r="K3" s="7"/>
      <c r="L3" s="7"/>
      <c r="M3" s="7" t="s">
        <v>89</v>
      </c>
      <c r="N3" s="7" t="s">
        <v>90</v>
      </c>
      <c r="O3" s="8" t="s">
        <v>91</v>
      </c>
      <c r="P3" s="8" t="s">
        <v>92</v>
      </c>
    </row>
    <row r="4" spans="1:16" x14ac:dyDescent="0.35">
      <c r="A4" s="27" t="str">
        <f t="shared" ref="A4:A11" si="0">DEC2HEX(B4)</f>
        <v>9C43</v>
      </c>
      <c r="B4" s="27">
        <f>$B$3+C4</f>
        <v>40003</v>
      </c>
      <c r="C4" s="21">
        <v>1</v>
      </c>
      <c r="D4" s="7"/>
      <c r="E4" s="7" t="s">
        <v>93</v>
      </c>
      <c r="F4" s="35">
        <v>65</v>
      </c>
      <c r="G4" s="7"/>
      <c r="H4" s="7" t="s">
        <v>88</v>
      </c>
      <c r="I4" s="7"/>
      <c r="J4" s="7"/>
      <c r="K4" s="7"/>
      <c r="L4" s="7"/>
      <c r="M4" s="7" t="s">
        <v>89</v>
      </c>
      <c r="N4" s="7" t="s">
        <v>90</v>
      </c>
      <c r="O4" s="8" t="s">
        <v>94</v>
      </c>
      <c r="P4" s="8" t="s">
        <v>95</v>
      </c>
    </row>
    <row r="5" spans="1:16" x14ac:dyDescent="0.35">
      <c r="A5" s="27" t="str">
        <f t="shared" si="0"/>
        <v>9C44</v>
      </c>
      <c r="B5" s="27">
        <f t="shared" ref="B5:B11" si="1">$B$3+C5</f>
        <v>40004</v>
      </c>
      <c r="C5" s="21">
        <v>2</v>
      </c>
      <c r="D5" s="7"/>
      <c r="E5" s="7" t="s">
        <v>96</v>
      </c>
      <c r="F5" s="7"/>
      <c r="G5" s="7"/>
      <c r="H5" s="7" t="s">
        <v>97</v>
      </c>
      <c r="I5" s="7">
        <v>16</v>
      </c>
      <c r="J5" s="7"/>
      <c r="K5" s="7"/>
      <c r="L5" s="7"/>
      <c r="M5" s="7" t="s">
        <v>89</v>
      </c>
      <c r="N5" s="7" t="s">
        <v>90</v>
      </c>
      <c r="O5" s="8" t="s">
        <v>98</v>
      </c>
      <c r="P5" s="8" t="s">
        <v>99</v>
      </c>
    </row>
    <row r="6" spans="1:16" x14ac:dyDescent="0.35">
      <c r="A6" s="27" t="str">
        <f t="shared" si="0"/>
        <v>9C54</v>
      </c>
      <c r="B6" s="27">
        <f t="shared" si="1"/>
        <v>40020</v>
      </c>
      <c r="C6" s="21">
        <v>18</v>
      </c>
      <c r="D6" s="7"/>
      <c r="E6" s="7" t="s">
        <v>100</v>
      </c>
      <c r="F6" s="7"/>
      <c r="G6" s="7"/>
      <c r="H6" s="7" t="s">
        <v>97</v>
      </c>
      <c r="I6" s="7">
        <v>16</v>
      </c>
      <c r="J6" s="7"/>
      <c r="K6" s="7"/>
      <c r="L6" s="7"/>
      <c r="M6" s="7" t="s">
        <v>89</v>
      </c>
      <c r="N6" s="7" t="s">
        <v>90</v>
      </c>
      <c r="O6" s="8" t="s">
        <v>57</v>
      </c>
      <c r="P6" s="8" t="s">
        <v>101</v>
      </c>
    </row>
    <row r="7" spans="1:16" x14ac:dyDescent="0.35">
      <c r="A7" s="27" t="str">
        <f t="shared" si="0"/>
        <v>9C64</v>
      </c>
      <c r="B7" s="27">
        <f t="shared" si="1"/>
        <v>40036</v>
      </c>
      <c r="C7" s="21">
        <v>34</v>
      </c>
      <c r="D7" s="7"/>
      <c r="E7" s="7" t="s">
        <v>102</v>
      </c>
      <c r="F7" s="7"/>
      <c r="G7" s="7"/>
      <c r="H7" s="7" t="s">
        <v>97</v>
      </c>
      <c r="I7" s="7">
        <v>8</v>
      </c>
      <c r="J7" s="7"/>
      <c r="K7" s="7"/>
      <c r="L7" s="7"/>
      <c r="M7" s="7"/>
      <c r="N7" s="7" t="s">
        <v>90</v>
      </c>
      <c r="O7" s="8" t="s">
        <v>103</v>
      </c>
      <c r="P7" s="8" t="s">
        <v>104</v>
      </c>
    </row>
    <row r="8" spans="1:16" x14ac:dyDescent="0.35">
      <c r="A8" s="27" t="str">
        <f t="shared" si="0"/>
        <v>9C6C</v>
      </c>
      <c r="B8" s="27">
        <f t="shared" si="1"/>
        <v>40044</v>
      </c>
      <c r="C8" s="21">
        <v>42</v>
      </c>
      <c r="D8" s="7"/>
      <c r="E8" s="7" t="s">
        <v>105</v>
      </c>
      <c r="F8" s="7"/>
      <c r="G8" s="7"/>
      <c r="H8" s="7" t="s">
        <v>97</v>
      </c>
      <c r="I8" s="7">
        <v>8</v>
      </c>
      <c r="J8" s="7"/>
      <c r="K8" s="7"/>
      <c r="L8" s="7"/>
      <c r="M8" s="7"/>
      <c r="N8" s="7" t="s">
        <v>90</v>
      </c>
      <c r="O8" s="8" t="s">
        <v>106</v>
      </c>
      <c r="P8" s="8" t="s">
        <v>104</v>
      </c>
    </row>
    <row r="9" spans="1:16" x14ac:dyDescent="0.35">
      <c r="A9" s="27" t="str">
        <f t="shared" si="0"/>
        <v>9C74</v>
      </c>
      <c r="B9" s="27">
        <f t="shared" si="1"/>
        <v>40052</v>
      </c>
      <c r="C9" s="21">
        <v>50</v>
      </c>
      <c r="D9" s="7"/>
      <c r="E9" s="7" t="s">
        <v>107</v>
      </c>
      <c r="F9" s="7"/>
      <c r="G9" s="7"/>
      <c r="H9" s="7" t="s">
        <v>97</v>
      </c>
      <c r="I9" s="7">
        <v>16</v>
      </c>
      <c r="J9" s="7"/>
      <c r="K9" s="7"/>
      <c r="L9" s="7"/>
      <c r="M9" s="7" t="s">
        <v>89</v>
      </c>
      <c r="N9" s="7" t="s">
        <v>90</v>
      </c>
      <c r="O9" s="8" t="s">
        <v>108</v>
      </c>
      <c r="P9" s="8" t="s">
        <v>101</v>
      </c>
    </row>
    <row r="10" spans="1:16" x14ac:dyDescent="0.35">
      <c r="A10" s="27" t="str">
        <f t="shared" si="0"/>
        <v>9C84</v>
      </c>
      <c r="B10" s="27">
        <f t="shared" si="1"/>
        <v>40068</v>
      </c>
      <c r="C10" s="39">
        <v>66</v>
      </c>
      <c r="D10" s="40"/>
      <c r="E10" s="40" t="s">
        <v>109</v>
      </c>
      <c r="F10" s="40"/>
      <c r="G10" s="40"/>
      <c r="H10" s="40" t="s">
        <v>88</v>
      </c>
      <c r="I10" s="40"/>
      <c r="J10" s="40"/>
      <c r="K10" s="40"/>
      <c r="L10" s="40" t="s">
        <v>110</v>
      </c>
      <c r="M10" s="40"/>
      <c r="N10" s="40"/>
      <c r="O10" s="33" t="s">
        <v>111</v>
      </c>
      <c r="P10" s="33" t="s">
        <v>112</v>
      </c>
    </row>
    <row r="11" spans="1:16" x14ac:dyDescent="0.35">
      <c r="A11" s="27" t="str">
        <f t="shared" si="0"/>
        <v>9C85</v>
      </c>
      <c r="B11" s="27">
        <f t="shared" si="1"/>
        <v>40069</v>
      </c>
      <c r="C11" s="22">
        <v>67</v>
      </c>
      <c r="D11" s="23"/>
      <c r="E11" s="23" t="s">
        <v>113</v>
      </c>
      <c r="F11" s="23"/>
      <c r="G11" s="23"/>
      <c r="H11" s="23" t="s">
        <v>114</v>
      </c>
      <c r="I11" s="23"/>
      <c r="J11" s="23"/>
      <c r="K11" s="23"/>
      <c r="L11" s="23"/>
      <c r="M11" s="23"/>
      <c r="N11" s="23" t="s">
        <v>90</v>
      </c>
      <c r="O11" s="24"/>
      <c r="P11" s="24" t="s">
        <v>115</v>
      </c>
    </row>
  </sheetData>
  <mergeCells count="1">
    <mergeCell ref="A1:B1"/>
  </mergeCells>
  <pageMargins left="0.75" right="0.75" top="1" bottom="1" header="0.5" footer="0.5"/>
  <pageSetup paperSize="9" orientation="portrait" horizontalDpi="24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P95"/>
  <sheetViews>
    <sheetView tabSelected="1" workbookViewId="0">
      <selection activeCell="D3" sqref="D3"/>
    </sheetView>
  </sheetViews>
  <sheetFormatPr defaultRowHeight="14.5" x14ac:dyDescent="0.35"/>
  <cols>
    <col min="5" max="5" width="25" customWidth="1"/>
    <col min="6" max="6" width="32.7265625" bestFit="1" customWidth="1"/>
    <col min="7" max="14" width="12" customWidth="1"/>
    <col min="15" max="15" width="30" customWidth="1"/>
    <col min="16" max="16" width="60" customWidth="1"/>
  </cols>
  <sheetData>
    <row r="1" spans="1:16" ht="29" x14ac:dyDescent="0.35">
      <c r="A1" s="38" t="s">
        <v>70</v>
      </c>
      <c r="B1" s="38"/>
      <c r="C1" s="1" t="s">
        <v>71</v>
      </c>
      <c r="D1" s="1" t="s">
        <v>72</v>
      </c>
      <c r="E1" s="1" t="s">
        <v>73</v>
      </c>
      <c r="F1" s="1" t="s">
        <v>74</v>
      </c>
      <c r="G1" s="1" t="s">
        <v>75</v>
      </c>
      <c r="H1" s="1" t="s">
        <v>76</v>
      </c>
      <c r="I1" s="1" t="s">
        <v>77</v>
      </c>
      <c r="J1" s="1" t="s">
        <v>78</v>
      </c>
      <c r="K1" s="1" t="s">
        <v>79</v>
      </c>
      <c r="L1" s="1" t="s">
        <v>80</v>
      </c>
      <c r="M1" s="1" t="s">
        <v>81</v>
      </c>
      <c r="N1" s="1" t="s">
        <v>82</v>
      </c>
      <c r="O1" s="1" t="s">
        <v>58</v>
      </c>
      <c r="P1" s="1" t="s">
        <v>59</v>
      </c>
    </row>
    <row r="2" spans="1:16" x14ac:dyDescent="0.35">
      <c r="A2" s="26" t="s">
        <v>83</v>
      </c>
      <c r="B2" s="26" t="s">
        <v>84</v>
      </c>
      <c r="C2" s="5"/>
      <c r="D2" s="5">
        <f>'1'!B11</f>
        <v>40069</v>
      </c>
      <c r="E2" s="5" t="s">
        <v>116</v>
      </c>
      <c r="F2" s="5"/>
      <c r="G2" s="5"/>
      <c r="H2" s="5" t="s">
        <v>86</v>
      </c>
      <c r="I2" s="5"/>
      <c r="J2" s="5"/>
      <c r="K2" s="5"/>
      <c r="L2" s="5"/>
      <c r="M2" s="5"/>
      <c r="N2" s="5"/>
      <c r="O2" s="6" t="s">
        <v>63</v>
      </c>
      <c r="P2" s="6"/>
    </row>
    <row r="3" spans="1:16" x14ac:dyDescent="0.35">
      <c r="A3" s="27" t="str">
        <f>DEC2HEX(B3)</f>
        <v>9C85</v>
      </c>
      <c r="B3" s="27">
        <f>$D$2+C3</f>
        <v>40069</v>
      </c>
      <c r="C3" s="7">
        <v>0</v>
      </c>
      <c r="D3" s="7"/>
      <c r="E3" s="7" t="s">
        <v>87</v>
      </c>
      <c r="F3" s="7">
        <v>211</v>
      </c>
      <c r="G3" s="7"/>
      <c r="H3" s="7" t="s">
        <v>88</v>
      </c>
      <c r="I3" s="7"/>
      <c r="J3" s="7"/>
      <c r="K3" s="7"/>
      <c r="L3" s="7"/>
      <c r="M3" s="7" t="s">
        <v>89</v>
      </c>
      <c r="N3" s="7" t="s">
        <v>90</v>
      </c>
      <c r="O3" s="8" t="s">
        <v>91</v>
      </c>
      <c r="P3" s="8" t="s">
        <v>92</v>
      </c>
    </row>
    <row r="4" spans="1:16" x14ac:dyDescent="0.35">
      <c r="A4" s="27" t="str">
        <f t="shared" ref="A4:A65" si="0">DEC2HEX(B4)</f>
        <v>9C86</v>
      </c>
      <c r="B4" s="27">
        <f t="shared" ref="B4:B65" si="1">$D$2+C4</f>
        <v>40070</v>
      </c>
      <c r="C4" s="7">
        <v>1</v>
      </c>
      <c r="D4" s="7"/>
      <c r="E4" s="7" t="s">
        <v>93</v>
      </c>
      <c r="F4" s="25">
        <f>B66+1-B4</f>
        <v>124</v>
      </c>
      <c r="G4" s="7"/>
      <c r="H4" s="7" t="s">
        <v>88</v>
      </c>
      <c r="I4" s="7"/>
      <c r="J4" s="7"/>
      <c r="K4" s="7"/>
      <c r="L4" s="7"/>
      <c r="M4" s="7" t="s">
        <v>89</v>
      </c>
      <c r="N4" s="7" t="s">
        <v>90</v>
      </c>
      <c r="O4" s="8" t="s">
        <v>94</v>
      </c>
      <c r="P4" s="8" t="s">
        <v>95</v>
      </c>
    </row>
    <row r="5" spans="1:16" x14ac:dyDescent="0.35">
      <c r="A5" s="27" t="str">
        <f t="shared" si="0"/>
        <v>9C87</v>
      </c>
      <c r="B5" s="27">
        <f t="shared" si="1"/>
        <v>40071</v>
      </c>
      <c r="C5" s="7">
        <v>2</v>
      </c>
      <c r="D5" s="7"/>
      <c r="E5" s="7" t="s">
        <v>117</v>
      </c>
      <c r="F5" s="7"/>
      <c r="G5" s="7"/>
      <c r="H5" s="7" t="s">
        <v>118</v>
      </c>
      <c r="I5" s="7"/>
      <c r="J5" s="7"/>
      <c r="K5" s="7" t="s">
        <v>117</v>
      </c>
      <c r="L5" s="7"/>
      <c r="M5" s="7" t="s">
        <v>89</v>
      </c>
      <c r="N5" s="7"/>
      <c r="O5" s="8" t="s">
        <v>119</v>
      </c>
      <c r="P5" s="8" t="s">
        <v>120</v>
      </c>
    </row>
    <row r="6" spans="1:16" x14ac:dyDescent="0.35">
      <c r="A6" s="27" t="str">
        <f t="shared" si="0"/>
        <v>9C89</v>
      </c>
      <c r="B6" s="27">
        <f t="shared" si="1"/>
        <v>40073</v>
      </c>
      <c r="C6" s="7">
        <v>4</v>
      </c>
      <c r="D6" s="7"/>
      <c r="E6" s="7" t="s">
        <v>121</v>
      </c>
      <c r="F6" s="7"/>
      <c r="G6" s="7"/>
      <c r="H6" s="7" t="s">
        <v>118</v>
      </c>
      <c r="I6" s="7"/>
      <c r="J6" s="7"/>
      <c r="K6" s="7" t="s">
        <v>117</v>
      </c>
      <c r="L6" s="7"/>
      <c r="M6" s="7" t="s">
        <v>89</v>
      </c>
      <c r="N6" s="7"/>
      <c r="O6" s="8" t="s">
        <v>122</v>
      </c>
      <c r="P6" s="8" t="s">
        <v>123</v>
      </c>
    </row>
    <row r="7" spans="1:16" x14ac:dyDescent="0.35">
      <c r="A7" s="27" t="str">
        <f t="shared" si="0"/>
        <v>9C8B</v>
      </c>
      <c r="B7" s="27">
        <f t="shared" si="1"/>
        <v>40075</v>
      </c>
      <c r="C7" s="7">
        <v>6</v>
      </c>
      <c r="D7" s="7"/>
      <c r="E7" s="7" t="s">
        <v>124</v>
      </c>
      <c r="F7" s="32" t="s">
        <v>125</v>
      </c>
      <c r="G7" s="7"/>
      <c r="H7" s="7" t="s">
        <v>118</v>
      </c>
      <c r="I7" s="7"/>
      <c r="J7" s="7"/>
      <c r="K7" s="7" t="s">
        <v>117</v>
      </c>
      <c r="L7" s="7"/>
      <c r="M7" s="7"/>
      <c r="N7" s="7"/>
      <c r="O7" s="8" t="s">
        <v>126</v>
      </c>
      <c r="P7" s="8" t="s">
        <v>127</v>
      </c>
    </row>
    <row r="8" spans="1:16" x14ac:dyDescent="0.35">
      <c r="A8" s="27" t="str">
        <f t="shared" si="0"/>
        <v>9C8D</v>
      </c>
      <c r="B8" s="27">
        <f t="shared" si="1"/>
        <v>40077</v>
      </c>
      <c r="C8" s="7">
        <v>8</v>
      </c>
      <c r="D8" s="7"/>
      <c r="E8" s="7" t="s">
        <v>128</v>
      </c>
      <c r="F8" s="32" t="s">
        <v>125</v>
      </c>
      <c r="G8" s="7"/>
      <c r="H8" s="7" t="s">
        <v>118</v>
      </c>
      <c r="I8" s="7"/>
      <c r="J8" s="7"/>
      <c r="K8" s="7" t="s">
        <v>117</v>
      </c>
      <c r="L8" s="7"/>
      <c r="M8" s="7"/>
      <c r="N8" s="7"/>
      <c r="O8" s="8" t="s">
        <v>129</v>
      </c>
      <c r="P8" s="8" t="s">
        <v>130</v>
      </c>
    </row>
    <row r="9" spans="1:16" x14ac:dyDescent="0.35">
      <c r="A9" s="27" t="str">
        <f t="shared" si="0"/>
        <v>9C8F</v>
      </c>
      <c r="B9" s="27">
        <f t="shared" si="1"/>
        <v>40079</v>
      </c>
      <c r="C9" s="7">
        <v>10</v>
      </c>
      <c r="D9" s="7"/>
      <c r="E9" s="7" t="s">
        <v>131</v>
      </c>
      <c r="F9" s="32"/>
      <c r="G9" s="7"/>
      <c r="H9" s="7" t="s">
        <v>118</v>
      </c>
      <c r="I9" s="7"/>
      <c r="J9" s="7"/>
      <c r="K9" s="7" t="s">
        <v>132</v>
      </c>
      <c r="L9" s="7"/>
      <c r="M9" s="7"/>
      <c r="N9" s="7"/>
      <c r="O9" s="8" t="s">
        <v>133</v>
      </c>
      <c r="P9" s="8" t="s">
        <v>134</v>
      </c>
    </row>
    <row r="10" spans="1:16" x14ac:dyDescent="0.35">
      <c r="A10" s="27" t="str">
        <f t="shared" si="0"/>
        <v>9C91</v>
      </c>
      <c r="B10" s="27">
        <f t="shared" si="1"/>
        <v>40081</v>
      </c>
      <c r="C10" s="7">
        <v>12</v>
      </c>
      <c r="D10" s="7"/>
      <c r="E10" s="7" t="s">
        <v>135</v>
      </c>
      <c r="F10" s="34" t="s">
        <v>125</v>
      </c>
      <c r="G10" s="7"/>
      <c r="H10" s="7" t="s">
        <v>118</v>
      </c>
      <c r="I10" s="7"/>
      <c r="J10" s="7"/>
      <c r="K10" s="7" t="s">
        <v>132</v>
      </c>
      <c r="L10" s="7"/>
      <c r="M10" s="7"/>
      <c r="N10" s="7"/>
      <c r="O10" s="8" t="s">
        <v>136</v>
      </c>
      <c r="P10" s="8" t="s">
        <v>136</v>
      </c>
    </row>
    <row r="11" spans="1:16" x14ac:dyDescent="0.35">
      <c r="A11" s="27" t="str">
        <f t="shared" si="0"/>
        <v>9C93</v>
      </c>
      <c r="B11" s="27">
        <f t="shared" si="1"/>
        <v>40083</v>
      </c>
      <c r="C11" s="7">
        <v>14</v>
      </c>
      <c r="D11" s="7"/>
      <c r="E11" s="7" t="s">
        <v>137</v>
      </c>
      <c r="F11" s="32" t="s">
        <v>125</v>
      </c>
      <c r="G11" s="7"/>
      <c r="H11" s="7" t="s">
        <v>118</v>
      </c>
      <c r="I11" s="7"/>
      <c r="J11" s="7"/>
      <c r="K11" s="7" t="s">
        <v>132</v>
      </c>
      <c r="L11" s="7"/>
      <c r="M11" s="7"/>
      <c r="N11" s="7"/>
      <c r="O11" s="8" t="s">
        <v>138</v>
      </c>
      <c r="P11" s="8" t="s">
        <v>138</v>
      </c>
    </row>
    <row r="12" spans="1:16" x14ac:dyDescent="0.35">
      <c r="A12" s="27" t="str">
        <f t="shared" si="0"/>
        <v>9C95</v>
      </c>
      <c r="B12" s="27">
        <f t="shared" si="1"/>
        <v>40085</v>
      </c>
      <c r="C12" s="7">
        <v>16</v>
      </c>
      <c r="D12" s="7"/>
      <c r="E12" s="7" t="s">
        <v>139</v>
      </c>
      <c r="F12" s="32" t="s">
        <v>125</v>
      </c>
      <c r="G12" s="7"/>
      <c r="H12" s="7" t="s">
        <v>118</v>
      </c>
      <c r="I12" s="7"/>
      <c r="J12" s="7"/>
      <c r="K12" s="7" t="s">
        <v>132</v>
      </c>
      <c r="L12" s="7"/>
      <c r="M12" s="7"/>
      <c r="N12" s="7"/>
      <c r="O12" s="8" t="s">
        <v>140</v>
      </c>
      <c r="P12" s="8" t="s">
        <v>140</v>
      </c>
    </row>
    <row r="13" spans="1:16" ht="14.25" customHeight="1" x14ac:dyDescent="0.35">
      <c r="A13" s="27" t="str">
        <f t="shared" si="0"/>
        <v>9C97</v>
      </c>
      <c r="B13" s="27">
        <f t="shared" si="1"/>
        <v>40087</v>
      </c>
      <c r="C13" s="7">
        <v>18</v>
      </c>
      <c r="D13" s="7"/>
      <c r="E13" s="7" t="s">
        <v>141</v>
      </c>
      <c r="F13" s="32" t="s">
        <v>125</v>
      </c>
      <c r="G13" s="7"/>
      <c r="H13" s="7" t="s">
        <v>118</v>
      </c>
      <c r="I13" s="7"/>
      <c r="J13" s="7"/>
      <c r="K13" s="7" t="s">
        <v>132</v>
      </c>
      <c r="L13" s="7"/>
      <c r="M13" s="7"/>
      <c r="N13" s="7"/>
      <c r="O13" s="8" t="s">
        <v>142</v>
      </c>
      <c r="P13" s="8" t="s">
        <v>143</v>
      </c>
    </row>
    <row r="14" spans="1:16" ht="17.25" customHeight="1" x14ac:dyDescent="0.35">
      <c r="A14" s="27" t="str">
        <f t="shared" si="0"/>
        <v>9C99</v>
      </c>
      <c r="B14" s="27">
        <f t="shared" si="1"/>
        <v>40089</v>
      </c>
      <c r="C14" s="7">
        <v>20</v>
      </c>
      <c r="D14" s="7"/>
      <c r="E14" s="7" t="s">
        <v>144</v>
      </c>
      <c r="F14" s="34" t="s">
        <v>125</v>
      </c>
      <c r="G14" s="7"/>
      <c r="H14" s="7" t="s">
        <v>118</v>
      </c>
      <c r="I14" s="7"/>
      <c r="J14" s="7"/>
      <c r="K14" s="7" t="s">
        <v>132</v>
      </c>
      <c r="L14" s="7"/>
      <c r="M14" s="7"/>
      <c r="N14" s="7"/>
      <c r="O14" s="8" t="s">
        <v>145</v>
      </c>
      <c r="P14" s="8" t="s">
        <v>145</v>
      </c>
    </row>
    <row r="15" spans="1:16" x14ac:dyDescent="0.35">
      <c r="A15" s="27" t="str">
        <f t="shared" si="0"/>
        <v>9C9B</v>
      </c>
      <c r="B15" s="27">
        <f t="shared" si="1"/>
        <v>40091</v>
      </c>
      <c r="C15" s="7">
        <v>22</v>
      </c>
      <c r="D15" s="7"/>
      <c r="E15" s="7" t="s">
        <v>146</v>
      </c>
      <c r="F15" s="32" t="s">
        <v>125</v>
      </c>
      <c r="G15" s="7"/>
      <c r="H15" s="7" t="s">
        <v>118</v>
      </c>
      <c r="I15" s="7"/>
      <c r="J15" s="7"/>
      <c r="K15" s="7" t="s">
        <v>132</v>
      </c>
      <c r="L15" s="7"/>
      <c r="M15" s="7"/>
      <c r="N15" s="7"/>
      <c r="O15" s="8" t="s">
        <v>147</v>
      </c>
      <c r="P15" s="8" t="s">
        <v>147</v>
      </c>
    </row>
    <row r="16" spans="1:16" x14ac:dyDescent="0.35">
      <c r="A16" s="27" t="str">
        <f t="shared" si="0"/>
        <v>9C9D</v>
      </c>
      <c r="B16" s="27">
        <f t="shared" si="1"/>
        <v>40093</v>
      </c>
      <c r="C16" s="7">
        <v>24</v>
      </c>
      <c r="D16" s="7"/>
      <c r="E16" s="7" t="s">
        <v>148</v>
      </c>
      <c r="F16" s="32" t="s">
        <v>125</v>
      </c>
      <c r="G16" s="7"/>
      <c r="H16" s="7" t="s">
        <v>118</v>
      </c>
      <c r="I16" s="7"/>
      <c r="J16" s="7"/>
      <c r="K16" s="7" t="s">
        <v>132</v>
      </c>
      <c r="L16" s="7"/>
      <c r="M16" s="7"/>
      <c r="N16" s="7"/>
      <c r="O16" s="8" t="s">
        <v>149</v>
      </c>
      <c r="P16" s="8" t="s">
        <v>149</v>
      </c>
    </row>
    <row r="17" spans="1:16" x14ac:dyDescent="0.35">
      <c r="A17" s="27" t="str">
        <f t="shared" si="0"/>
        <v>9C9F</v>
      </c>
      <c r="B17" s="27">
        <f t="shared" si="1"/>
        <v>40095</v>
      </c>
      <c r="C17" s="7">
        <v>26</v>
      </c>
      <c r="D17" s="7"/>
      <c r="E17" s="7" t="s">
        <v>150</v>
      </c>
      <c r="F17" s="7"/>
      <c r="G17" s="7"/>
      <c r="H17" s="7" t="s">
        <v>118</v>
      </c>
      <c r="I17" s="7"/>
      <c r="J17" s="7"/>
      <c r="K17" s="7" t="s">
        <v>150</v>
      </c>
      <c r="L17" s="7"/>
      <c r="M17" s="7" t="s">
        <v>89</v>
      </c>
      <c r="N17" s="7"/>
      <c r="O17" s="8" t="s">
        <v>150</v>
      </c>
      <c r="P17" s="8" t="s">
        <v>151</v>
      </c>
    </row>
    <row r="18" spans="1:16" x14ac:dyDescent="0.35">
      <c r="A18" s="27" t="str">
        <f t="shared" si="0"/>
        <v>9CA1</v>
      </c>
      <c r="B18" s="27">
        <f t="shared" si="1"/>
        <v>40097</v>
      </c>
      <c r="C18" s="7">
        <v>28</v>
      </c>
      <c r="D18" s="7"/>
      <c r="E18" s="7" t="s">
        <v>152</v>
      </c>
      <c r="F18" s="7"/>
      <c r="G18" s="7"/>
      <c r="H18" s="7" t="s">
        <v>118</v>
      </c>
      <c r="I18" s="7"/>
      <c r="J18" s="7"/>
      <c r="K18" s="7" t="s">
        <v>152</v>
      </c>
      <c r="L18" s="7"/>
      <c r="M18" s="7" t="s">
        <v>89</v>
      </c>
      <c r="N18" s="7"/>
      <c r="O18" s="8" t="s">
        <v>153</v>
      </c>
      <c r="P18" s="8" t="s">
        <v>154</v>
      </c>
    </row>
    <row r="19" spans="1:16" x14ac:dyDescent="0.35">
      <c r="A19" s="27" t="str">
        <f t="shared" si="0"/>
        <v>9CA3</v>
      </c>
      <c r="B19" s="27">
        <f t="shared" si="1"/>
        <v>40099</v>
      </c>
      <c r="C19" s="7">
        <v>30</v>
      </c>
      <c r="D19" s="7"/>
      <c r="E19" s="7" t="s">
        <v>155</v>
      </c>
      <c r="F19" s="32" t="s">
        <v>125</v>
      </c>
      <c r="G19" s="7"/>
      <c r="H19" s="7" t="s">
        <v>118</v>
      </c>
      <c r="I19" s="7"/>
      <c r="J19" s="7"/>
      <c r="K19" s="7" t="s">
        <v>152</v>
      </c>
      <c r="L19" s="7"/>
      <c r="M19" s="7"/>
      <c r="N19" s="7"/>
      <c r="O19" s="8" t="s">
        <v>156</v>
      </c>
      <c r="P19" s="8"/>
    </row>
    <row r="20" spans="1:16" x14ac:dyDescent="0.35">
      <c r="A20" s="27" t="str">
        <f t="shared" si="0"/>
        <v>9CA5</v>
      </c>
      <c r="B20" s="27">
        <f t="shared" si="1"/>
        <v>40101</v>
      </c>
      <c r="C20" s="7">
        <v>32</v>
      </c>
      <c r="D20" s="7"/>
      <c r="E20" s="7" t="s">
        <v>157</v>
      </c>
      <c r="F20" s="32" t="s">
        <v>125</v>
      </c>
      <c r="G20" s="7"/>
      <c r="H20" s="7" t="s">
        <v>118</v>
      </c>
      <c r="I20" s="7"/>
      <c r="J20" s="7"/>
      <c r="K20" s="7" t="s">
        <v>152</v>
      </c>
      <c r="L20" s="7"/>
      <c r="M20" s="7"/>
      <c r="N20" s="7"/>
      <c r="O20" s="8" t="s">
        <v>158</v>
      </c>
      <c r="P20" s="8"/>
    </row>
    <row r="21" spans="1:16" x14ac:dyDescent="0.35">
      <c r="A21" s="27" t="str">
        <f t="shared" si="0"/>
        <v>9CA7</v>
      </c>
      <c r="B21" s="27">
        <f t="shared" si="1"/>
        <v>40103</v>
      </c>
      <c r="C21" s="7">
        <v>34</v>
      </c>
      <c r="D21" s="7"/>
      <c r="E21" s="7" t="s">
        <v>159</v>
      </c>
      <c r="F21" s="32" t="s">
        <v>125</v>
      </c>
      <c r="G21" s="7"/>
      <c r="H21" s="7" t="s">
        <v>118</v>
      </c>
      <c r="I21" s="7"/>
      <c r="J21" s="7"/>
      <c r="K21" s="7" t="s">
        <v>152</v>
      </c>
      <c r="L21" s="7"/>
      <c r="M21" s="7"/>
      <c r="N21" s="7"/>
      <c r="O21" s="8" t="s">
        <v>160</v>
      </c>
      <c r="P21" s="8"/>
    </row>
    <row r="22" spans="1:16" x14ac:dyDescent="0.35">
      <c r="A22" s="27" t="str">
        <f t="shared" si="0"/>
        <v>9CA9</v>
      </c>
      <c r="B22" s="27">
        <f t="shared" si="1"/>
        <v>40105</v>
      </c>
      <c r="C22" s="7">
        <v>36</v>
      </c>
      <c r="D22" s="7"/>
      <c r="E22" s="7" t="s">
        <v>161</v>
      </c>
      <c r="F22" s="7"/>
      <c r="G22" s="7"/>
      <c r="H22" s="7" t="s">
        <v>118</v>
      </c>
      <c r="I22" s="7"/>
      <c r="J22" s="7"/>
      <c r="K22" s="7" t="s">
        <v>161</v>
      </c>
      <c r="L22" s="7"/>
      <c r="M22" s="7"/>
      <c r="N22" s="7"/>
      <c r="O22" s="8" t="s">
        <v>161</v>
      </c>
      <c r="P22" s="8" t="s">
        <v>162</v>
      </c>
    </row>
    <row r="23" spans="1:16" x14ac:dyDescent="0.35">
      <c r="A23" s="27" t="str">
        <f t="shared" si="0"/>
        <v>9CAB</v>
      </c>
      <c r="B23" s="27">
        <f t="shared" si="1"/>
        <v>40107</v>
      </c>
      <c r="C23" s="7">
        <v>38</v>
      </c>
      <c r="D23" s="7"/>
      <c r="E23" s="7" t="s">
        <v>163</v>
      </c>
      <c r="F23" s="34" t="s">
        <v>125</v>
      </c>
      <c r="G23" s="7"/>
      <c r="H23" s="7" t="s">
        <v>118</v>
      </c>
      <c r="I23" s="7"/>
      <c r="J23" s="7"/>
      <c r="K23" s="7" t="s">
        <v>161</v>
      </c>
      <c r="L23" s="7"/>
      <c r="M23" s="7"/>
      <c r="N23" s="7"/>
      <c r="O23" s="8" t="s">
        <v>164</v>
      </c>
      <c r="P23" s="8"/>
    </row>
    <row r="24" spans="1:16" x14ac:dyDescent="0.35">
      <c r="A24" s="27" t="str">
        <f t="shared" si="0"/>
        <v>9CAD</v>
      </c>
      <c r="B24" s="27">
        <f t="shared" si="1"/>
        <v>40109</v>
      </c>
      <c r="C24" s="7">
        <v>40</v>
      </c>
      <c r="D24" s="7"/>
      <c r="E24" s="7" t="s">
        <v>165</v>
      </c>
      <c r="F24" s="32" t="s">
        <v>125</v>
      </c>
      <c r="G24" s="7"/>
      <c r="H24" s="7" t="s">
        <v>118</v>
      </c>
      <c r="I24" s="7"/>
      <c r="J24" s="7"/>
      <c r="K24" s="7" t="s">
        <v>161</v>
      </c>
      <c r="L24" s="7"/>
      <c r="M24" s="7"/>
      <c r="N24" s="7"/>
      <c r="O24" s="8" t="s">
        <v>166</v>
      </c>
      <c r="P24" s="8"/>
    </row>
    <row r="25" spans="1:16" x14ac:dyDescent="0.35">
      <c r="A25" s="27" t="str">
        <f t="shared" si="0"/>
        <v>9CAF</v>
      </c>
      <c r="B25" s="27">
        <f t="shared" si="1"/>
        <v>40111</v>
      </c>
      <c r="C25" s="7">
        <v>42</v>
      </c>
      <c r="D25" s="7"/>
      <c r="E25" s="7" t="s">
        <v>167</v>
      </c>
      <c r="F25" s="32" t="s">
        <v>125</v>
      </c>
      <c r="G25" s="7"/>
      <c r="H25" s="7" t="s">
        <v>118</v>
      </c>
      <c r="I25" s="7"/>
      <c r="J25" s="7"/>
      <c r="K25" s="7" t="s">
        <v>161</v>
      </c>
      <c r="L25" s="7"/>
      <c r="M25" s="7"/>
      <c r="N25" s="7"/>
      <c r="O25" s="8" t="s">
        <v>168</v>
      </c>
      <c r="P25" s="8"/>
    </row>
    <row r="26" spans="1:16" x14ac:dyDescent="0.35">
      <c r="A26" s="27" t="str">
        <f t="shared" si="0"/>
        <v>9CB1</v>
      </c>
      <c r="B26" s="27">
        <f t="shared" si="1"/>
        <v>40113</v>
      </c>
      <c r="C26" s="7">
        <v>44</v>
      </c>
      <c r="D26" s="7"/>
      <c r="E26" s="7" t="s">
        <v>169</v>
      </c>
      <c r="F26" s="7"/>
      <c r="G26" s="7"/>
      <c r="H26" s="7" t="s">
        <v>118</v>
      </c>
      <c r="I26" s="7"/>
      <c r="J26" s="7"/>
      <c r="K26" s="7" t="s">
        <v>170</v>
      </c>
      <c r="L26" s="7"/>
      <c r="M26" s="7"/>
      <c r="N26" s="7"/>
      <c r="O26" s="8" t="s">
        <v>169</v>
      </c>
      <c r="P26" s="8" t="s">
        <v>171</v>
      </c>
    </row>
    <row r="27" spans="1:16" x14ac:dyDescent="0.35">
      <c r="A27" s="27" t="str">
        <f t="shared" si="0"/>
        <v>9CB3</v>
      </c>
      <c r="B27" s="27">
        <f t="shared" si="1"/>
        <v>40115</v>
      </c>
      <c r="C27" s="7">
        <v>46</v>
      </c>
      <c r="D27" s="7"/>
      <c r="E27" s="7" t="s">
        <v>172</v>
      </c>
      <c r="F27" s="34" t="s">
        <v>125</v>
      </c>
      <c r="G27" s="7"/>
      <c r="H27" s="7" t="s">
        <v>118</v>
      </c>
      <c r="I27" s="7"/>
      <c r="J27" s="7"/>
      <c r="K27" s="7" t="s">
        <v>170</v>
      </c>
      <c r="L27" s="7"/>
      <c r="M27" s="7"/>
      <c r="N27" s="7"/>
      <c r="O27" s="8" t="s">
        <v>173</v>
      </c>
      <c r="P27" s="8"/>
    </row>
    <row r="28" spans="1:16" x14ac:dyDescent="0.35">
      <c r="A28" s="27" t="str">
        <f t="shared" si="0"/>
        <v>9CB5</v>
      </c>
      <c r="B28" s="27">
        <f t="shared" si="1"/>
        <v>40117</v>
      </c>
      <c r="C28" s="7">
        <v>48</v>
      </c>
      <c r="D28" s="7"/>
      <c r="E28" s="7" t="s">
        <v>174</v>
      </c>
      <c r="F28" s="32" t="s">
        <v>125</v>
      </c>
      <c r="G28" s="7"/>
      <c r="H28" s="7" t="s">
        <v>118</v>
      </c>
      <c r="I28" s="7"/>
      <c r="J28" s="7"/>
      <c r="K28" s="7" t="s">
        <v>170</v>
      </c>
      <c r="L28" s="7"/>
      <c r="M28" s="7"/>
      <c r="N28" s="7"/>
      <c r="O28" s="8" t="s">
        <v>175</v>
      </c>
      <c r="P28" s="8"/>
    </row>
    <row r="29" spans="1:16" x14ac:dyDescent="0.35">
      <c r="A29" s="27" t="str">
        <f t="shared" si="0"/>
        <v>9CB7</v>
      </c>
      <c r="B29" s="27">
        <f t="shared" si="1"/>
        <v>40119</v>
      </c>
      <c r="C29" s="7">
        <v>50</v>
      </c>
      <c r="D29" s="7"/>
      <c r="E29" s="7" t="s">
        <v>176</v>
      </c>
      <c r="F29" s="32" t="s">
        <v>125</v>
      </c>
      <c r="G29" s="7"/>
      <c r="H29" s="7" t="s">
        <v>118</v>
      </c>
      <c r="I29" s="7"/>
      <c r="J29" s="7"/>
      <c r="K29" s="7" t="s">
        <v>170</v>
      </c>
      <c r="L29" s="7"/>
      <c r="M29" s="7"/>
      <c r="N29" s="7"/>
      <c r="O29" s="8" t="s">
        <v>177</v>
      </c>
      <c r="P29" s="8"/>
    </row>
    <row r="30" spans="1:16" x14ac:dyDescent="0.35">
      <c r="A30" s="27" t="str">
        <f t="shared" si="0"/>
        <v>9CB9</v>
      </c>
      <c r="B30" s="27">
        <f t="shared" si="1"/>
        <v>40121</v>
      </c>
      <c r="C30" s="7">
        <v>52</v>
      </c>
      <c r="D30" s="7"/>
      <c r="E30" s="7" t="s">
        <v>178</v>
      </c>
      <c r="F30" s="7"/>
      <c r="G30" s="7"/>
      <c r="H30" s="7" t="s">
        <v>118</v>
      </c>
      <c r="I30" s="7"/>
      <c r="J30" s="7"/>
      <c r="K30" s="7" t="s">
        <v>178</v>
      </c>
      <c r="L30" s="7"/>
      <c r="M30" s="7"/>
      <c r="N30" s="7"/>
      <c r="O30" s="8" t="s">
        <v>178</v>
      </c>
      <c r="P30" s="8" t="s">
        <v>179</v>
      </c>
    </row>
    <row r="31" spans="1:16" x14ac:dyDescent="0.35">
      <c r="A31" s="27" t="str">
        <f t="shared" si="0"/>
        <v>9CBB</v>
      </c>
      <c r="B31" s="27">
        <f t="shared" si="1"/>
        <v>40123</v>
      </c>
      <c r="C31" s="7">
        <v>54</v>
      </c>
      <c r="D31" s="7"/>
      <c r="E31" s="7" t="s">
        <v>180</v>
      </c>
      <c r="F31" s="34" t="s">
        <v>125</v>
      </c>
      <c r="G31" s="7"/>
      <c r="H31" s="7" t="s">
        <v>118</v>
      </c>
      <c r="I31" s="7"/>
      <c r="J31" s="7"/>
      <c r="K31" s="7" t="s">
        <v>178</v>
      </c>
      <c r="L31" s="7"/>
      <c r="M31" s="7"/>
      <c r="N31" s="7"/>
      <c r="O31" s="8" t="s">
        <v>181</v>
      </c>
      <c r="P31" s="8"/>
    </row>
    <row r="32" spans="1:16" x14ac:dyDescent="0.35">
      <c r="A32" s="27" t="str">
        <f t="shared" si="0"/>
        <v>9CBD</v>
      </c>
      <c r="B32" s="27">
        <f t="shared" si="1"/>
        <v>40125</v>
      </c>
      <c r="C32" s="7">
        <v>56</v>
      </c>
      <c r="D32" s="7"/>
      <c r="E32" s="7" t="s">
        <v>182</v>
      </c>
      <c r="F32" s="32" t="s">
        <v>125</v>
      </c>
      <c r="G32" s="7"/>
      <c r="H32" s="7" t="s">
        <v>118</v>
      </c>
      <c r="I32" s="7"/>
      <c r="J32" s="7"/>
      <c r="K32" s="7" t="s">
        <v>178</v>
      </c>
      <c r="L32" s="7"/>
      <c r="M32" s="7"/>
      <c r="N32" s="7"/>
      <c r="O32" s="8" t="s">
        <v>183</v>
      </c>
      <c r="P32" s="8"/>
    </row>
    <row r="33" spans="1:16" x14ac:dyDescent="0.35">
      <c r="A33" s="27" t="str">
        <f t="shared" si="0"/>
        <v>9CBF</v>
      </c>
      <c r="B33" s="27">
        <f t="shared" si="1"/>
        <v>40127</v>
      </c>
      <c r="C33" s="7">
        <v>58</v>
      </c>
      <c r="D33" s="7"/>
      <c r="E33" s="7" t="s">
        <v>184</v>
      </c>
      <c r="F33" s="32" t="s">
        <v>125</v>
      </c>
      <c r="G33" s="7"/>
      <c r="H33" s="7" t="s">
        <v>118</v>
      </c>
      <c r="I33" s="7"/>
      <c r="J33" s="7"/>
      <c r="K33" s="7" t="s">
        <v>178</v>
      </c>
      <c r="L33" s="7"/>
      <c r="M33" s="7"/>
      <c r="N33" s="7"/>
      <c r="O33" s="8" t="s">
        <v>185</v>
      </c>
      <c r="P33" s="8"/>
    </row>
    <row r="34" spans="1:16" x14ac:dyDescent="0.35">
      <c r="A34" s="27" t="str">
        <f t="shared" si="0"/>
        <v>9CC1</v>
      </c>
      <c r="B34" s="27">
        <f t="shared" si="1"/>
        <v>40129</v>
      </c>
      <c r="C34" s="7">
        <v>60</v>
      </c>
      <c r="D34" s="7"/>
      <c r="E34" s="7" t="s">
        <v>186</v>
      </c>
      <c r="F34" s="7"/>
      <c r="G34" s="7"/>
      <c r="H34" s="7" t="s">
        <v>118</v>
      </c>
      <c r="I34" s="7"/>
      <c r="J34" s="7"/>
      <c r="K34" s="7" t="s">
        <v>187</v>
      </c>
      <c r="L34" s="7"/>
      <c r="M34" s="7" t="s">
        <v>89</v>
      </c>
      <c r="N34" s="7"/>
      <c r="O34" s="8" t="s">
        <v>188</v>
      </c>
      <c r="P34" s="8" t="s">
        <v>189</v>
      </c>
    </row>
    <row r="35" spans="1:16" ht="29" x14ac:dyDescent="0.35">
      <c r="A35" s="27" t="str">
        <f t="shared" si="0"/>
        <v>9CC3</v>
      </c>
      <c r="B35" s="27">
        <f t="shared" si="1"/>
        <v>40131</v>
      </c>
      <c r="C35" s="7">
        <v>62</v>
      </c>
      <c r="D35" s="7"/>
      <c r="E35" s="7" t="s">
        <v>190</v>
      </c>
      <c r="F35" s="34" t="s">
        <v>125</v>
      </c>
      <c r="G35" s="7"/>
      <c r="H35" s="7" t="s">
        <v>118</v>
      </c>
      <c r="I35" s="7"/>
      <c r="J35" s="7"/>
      <c r="K35" s="7" t="s">
        <v>187</v>
      </c>
      <c r="L35" s="7"/>
      <c r="M35" s="7"/>
      <c r="N35" s="7"/>
      <c r="O35" s="8" t="s">
        <v>191</v>
      </c>
      <c r="P35" s="8"/>
    </row>
    <row r="36" spans="1:16" ht="29" x14ac:dyDescent="0.35">
      <c r="A36" s="27" t="str">
        <f t="shared" si="0"/>
        <v>9CC5</v>
      </c>
      <c r="B36" s="27">
        <f t="shared" si="1"/>
        <v>40133</v>
      </c>
      <c r="C36" s="7">
        <v>64</v>
      </c>
      <c r="D36" s="7"/>
      <c r="E36" s="7" t="s">
        <v>192</v>
      </c>
      <c r="F36" s="32" t="s">
        <v>125</v>
      </c>
      <c r="G36" s="7"/>
      <c r="H36" s="7" t="s">
        <v>118</v>
      </c>
      <c r="I36" s="7"/>
      <c r="J36" s="7"/>
      <c r="K36" s="7" t="s">
        <v>187</v>
      </c>
      <c r="L36" s="7"/>
      <c r="M36" s="7"/>
      <c r="N36" s="7"/>
      <c r="O36" s="8" t="s">
        <v>193</v>
      </c>
      <c r="P36" s="8"/>
    </row>
    <row r="37" spans="1:16" ht="29" x14ac:dyDescent="0.35">
      <c r="A37" s="27" t="str">
        <f t="shared" si="0"/>
        <v>9CC7</v>
      </c>
      <c r="B37" s="27">
        <f t="shared" si="1"/>
        <v>40135</v>
      </c>
      <c r="C37" s="7">
        <v>66</v>
      </c>
      <c r="D37" s="7"/>
      <c r="E37" s="7" t="s">
        <v>194</v>
      </c>
      <c r="F37" s="32" t="s">
        <v>125</v>
      </c>
      <c r="G37" s="7"/>
      <c r="H37" s="7" t="s">
        <v>118</v>
      </c>
      <c r="I37" s="7"/>
      <c r="J37" s="7"/>
      <c r="K37" s="7" t="s">
        <v>187</v>
      </c>
      <c r="L37" s="7"/>
      <c r="M37" s="7"/>
      <c r="N37" s="7"/>
      <c r="O37" s="8" t="s">
        <v>195</v>
      </c>
      <c r="P37" s="8"/>
    </row>
    <row r="38" spans="1:16" x14ac:dyDescent="0.35">
      <c r="A38" s="27" t="str">
        <f t="shared" si="0"/>
        <v>9CC9</v>
      </c>
      <c r="B38" s="27">
        <f t="shared" si="1"/>
        <v>40137</v>
      </c>
      <c r="C38" s="7">
        <v>68</v>
      </c>
      <c r="D38" s="7"/>
      <c r="E38" s="7" t="s">
        <v>196</v>
      </c>
      <c r="F38" s="7"/>
      <c r="G38" s="7"/>
      <c r="H38" s="7" t="s">
        <v>118</v>
      </c>
      <c r="I38" s="7"/>
      <c r="J38" s="7"/>
      <c r="K38" s="7" t="s">
        <v>187</v>
      </c>
      <c r="L38" s="7"/>
      <c r="M38" s="7" t="s">
        <v>89</v>
      </c>
      <c r="N38" s="7"/>
      <c r="O38" s="8" t="s">
        <v>197</v>
      </c>
      <c r="P38" s="8" t="s">
        <v>198</v>
      </c>
    </row>
    <row r="39" spans="1:16" ht="29" x14ac:dyDescent="0.35">
      <c r="A39" s="27" t="str">
        <f t="shared" si="0"/>
        <v>9CCB</v>
      </c>
      <c r="B39" s="27">
        <f t="shared" si="1"/>
        <v>40139</v>
      </c>
      <c r="C39" s="7">
        <v>70</v>
      </c>
      <c r="D39" s="7"/>
      <c r="E39" s="7" t="s">
        <v>199</v>
      </c>
      <c r="F39" s="32" t="s">
        <v>125</v>
      </c>
      <c r="G39" s="7"/>
      <c r="H39" s="7" t="s">
        <v>118</v>
      </c>
      <c r="I39" s="7"/>
      <c r="J39" s="7"/>
      <c r="K39" s="7" t="s">
        <v>187</v>
      </c>
      <c r="L39" s="7"/>
      <c r="M39" s="7"/>
      <c r="N39" s="7"/>
      <c r="O39" s="8" t="s">
        <v>200</v>
      </c>
      <c r="P39" s="8"/>
    </row>
    <row r="40" spans="1:16" ht="29" x14ac:dyDescent="0.35">
      <c r="A40" s="27" t="str">
        <f t="shared" si="0"/>
        <v>9CCD</v>
      </c>
      <c r="B40" s="27">
        <f t="shared" si="1"/>
        <v>40141</v>
      </c>
      <c r="C40" s="7">
        <v>72</v>
      </c>
      <c r="D40" s="7"/>
      <c r="E40" s="7" t="s">
        <v>201</v>
      </c>
      <c r="F40" s="32" t="s">
        <v>125</v>
      </c>
      <c r="G40" s="7"/>
      <c r="H40" s="7" t="s">
        <v>118</v>
      </c>
      <c r="I40" s="7"/>
      <c r="J40" s="7"/>
      <c r="K40" s="7" t="s">
        <v>187</v>
      </c>
      <c r="L40" s="7"/>
      <c r="M40" s="7"/>
      <c r="N40" s="7"/>
      <c r="O40" s="8" t="s">
        <v>202</v>
      </c>
      <c r="P40" s="8"/>
    </row>
    <row r="41" spans="1:16" ht="29" x14ac:dyDescent="0.35">
      <c r="A41" s="27" t="str">
        <f t="shared" si="0"/>
        <v>9CCF</v>
      </c>
      <c r="B41" s="27">
        <f t="shared" si="1"/>
        <v>40143</v>
      </c>
      <c r="C41" s="7">
        <v>74</v>
      </c>
      <c r="D41" s="7"/>
      <c r="E41" s="7" t="s">
        <v>203</v>
      </c>
      <c r="F41" s="32" t="s">
        <v>125</v>
      </c>
      <c r="G41" s="7"/>
      <c r="H41" s="7" t="s">
        <v>118</v>
      </c>
      <c r="I41" s="7"/>
      <c r="J41" s="7"/>
      <c r="K41" s="7" t="s">
        <v>187</v>
      </c>
      <c r="L41" s="7"/>
      <c r="M41" s="7"/>
      <c r="N41" s="7"/>
      <c r="O41" s="8" t="s">
        <v>204</v>
      </c>
      <c r="P41" s="8"/>
    </row>
    <row r="42" spans="1:16" x14ac:dyDescent="0.35">
      <c r="A42" s="28" t="str">
        <f t="shared" si="0"/>
        <v>9CD1</v>
      </c>
      <c r="B42" s="28">
        <f t="shared" si="1"/>
        <v>40145</v>
      </c>
      <c r="C42" s="7">
        <v>76</v>
      </c>
      <c r="D42" s="7"/>
      <c r="E42" s="7" t="s">
        <v>205</v>
      </c>
      <c r="F42" s="36" t="s">
        <v>125</v>
      </c>
      <c r="G42" s="7"/>
      <c r="H42" s="7" t="s">
        <v>118</v>
      </c>
      <c r="I42" s="7"/>
      <c r="J42" s="7"/>
      <c r="K42" s="7" t="s">
        <v>206</v>
      </c>
      <c r="L42" s="7"/>
      <c r="M42" s="7"/>
      <c r="N42" s="7"/>
      <c r="O42" s="8" t="s">
        <v>207</v>
      </c>
      <c r="P42" s="8" t="s">
        <v>208</v>
      </c>
    </row>
    <row r="43" spans="1:16" x14ac:dyDescent="0.35">
      <c r="A43" s="27" t="str">
        <f t="shared" si="0"/>
        <v>9CD3</v>
      </c>
      <c r="B43" s="27">
        <f t="shared" si="1"/>
        <v>40147</v>
      </c>
      <c r="C43" s="7">
        <v>78</v>
      </c>
      <c r="D43" s="7"/>
      <c r="E43" s="7" t="s">
        <v>209</v>
      </c>
      <c r="F43" s="36" t="s">
        <v>125</v>
      </c>
      <c r="G43" s="7"/>
      <c r="H43" s="7" t="s">
        <v>118</v>
      </c>
      <c r="I43" s="7"/>
      <c r="J43" s="7"/>
      <c r="K43" s="7" t="s">
        <v>206</v>
      </c>
      <c r="L43" s="7"/>
      <c r="M43" s="7"/>
      <c r="N43" s="7"/>
      <c r="O43" s="8" t="s">
        <v>210</v>
      </c>
      <c r="P43" s="8"/>
    </row>
    <row r="44" spans="1:16" x14ac:dyDescent="0.35">
      <c r="A44" s="27" t="str">
        <f t="shared" si="0"/>
        <v>9CD5</v>
      </c>
      <c r="B44" s="27">
        <f t="shared" si="1"/>
        <v>40149</v>
      </c>
      <c r="C44" s="7">
        <v>80</v>
      </c>
      <c r="D44" s="7"/>
      <c r="E44" s="7" t="s">
        <v>211</v>
      </c>
      <c r="F44" s="36" t="s">
        <v>125</v>
      </c>
      <c r="G44" s="7"/>
      <c r="H44" s="7" t="s">
        <v>118</v>
      </c>
      <c r="I44" s="7"/>
      <c r="J44" s="7"/>
      <c r="K44" s="7" t="s">
        <v>206</v>
      </c>
      <c r="L44" s="7"/>
      <c r="M44" s="7"/>
      <c r="N44" s="7"/>
      <c r="O44" s="8" t="s">
        <v>212</v>
      </c>
      <c r="P44" s="8"/>
    </row>
    <row r="45" spans="1:16" x14ac:dyDescent="0.35">
      <c r="A45" s="27" t="str">
        <f t="shared" si="0"/>
        <v>9CD7</v>
      </c>
      <c r="B45" s="27">
        <f t="shared" si="1"/>
        <v>40151</v>
      </c>
      <c r="C45" s="7">
        <v>82</v>
      </c>
      <c r="D45" s="7"/>
      <c r="E45" s="7" t="s">
        <v>213</v>
      </c>
      <c r="F45" s="36" t="s">
        <v>125</v>
      </c>
      <c r="G45" s="7"/>
      <c r="H45" s="7" t="s">
        <v>118</v>
      </c>
      <c r="I45" s="7"/>
      <c r="J45" s="7"/>
      <c r="K45" s="7" t="s">
        <v>206</v>
      </c>
      <c r="L45" s="7"/>
      <c r="M45" s="7"/>
      <c r="N45" s="7"/>
      <c r="O45" s="8" t="s">
        <v>214</v>
      </c>
      <c r="P45" s="8"/>
    </row>
    <row r="46" spans="1:16" x14ac:dyDescent="0.35">
      <c r="A46" s="27" t="str">
        <f t="shared" si="0"/>
        <v>9CD9</v>
      </c>
      <c r="B46" s="27">
        <f t="shared" si="1"/>
        <v>40153</v>
      </c>
      <c r="C46" s="7">
        <v>84</v>
      </c>
      <c r="D46" s="7"/>
      <c r="E46" s="7" t="s">
        <v>215</v>
      </c>
      <c r="F46" s="36" t="s">
        <v>125</v>
      </c>
      <c r="G46" s="7"/>
      <c r="H46" s="7" t="s">
        <v>118</v>
      </c>
      <c r="I46" s="7"/>
      <c r="J46" s="7"/>
      <c r="K46" s="7" t="s">
        <v>206</v>
      </c>
      <c r="L46" s="7"/>
      <c r="M46" s="7"/>
      <c r="N46" s="7"/>
      <c r="O46" s="8" t="s">
        <v>216</v>
      </c>
      <c r="P46" s="8" t="s">
        <v>217</v>
      </c>
    </row>
    <row r="47" spans="1:16" x14ac:dyDescent="0.35">
      <c r="A47" s="27" t="str">
        <f t="shared" si="0"/>
        <v>9CDB</v>
      </c>
      <c r="B47" s="27">
        <f t="shared" si="1"/>
        <v>40155</v>
      </c>
      <c r="C47" s="7">
        <v>86</v>
      </c>
      <c r="D47" s="7"/>
      <c r="E47" s="7" t="s">
        <v>218</v>
      </c>
      <c r="F47" s="36" t="s">
        <v>125</v>
      </c>
      <c r="G47" s="7"/>
      <c r="H47" s="7" t="s">
        <v>118</v>
      </c>
      <c r="I47" s="7"/>
      <c r="J47" s="7"/>
      <c r="K47" s="7" t="s">
        <v>206</v>
      </c>
      <c r="L47" s="7"/>
      <c r="M47" s="7"/>
      <c r="N47" s="7"/>
      <c r="O47" s="8" t="s">
        <v>219</v>
      </c>
      <c r="P47" s="8"/>
    </row>
    <row r="48" spans="1:16" x14ac:dyDescent="0.35">
      <c r="A48" s="27" t="str">
        <f t="shared" si="0"/>
        <v>9CDD</v>
      </c>
      <c r="B48" s="27">
        <f t="shared" si="1"/>
        <v>40157</v>
      </c>
      <c r="C48" s="7">
        <v>88</v>
      </c>
      <c r="D48" s="7"/>
      <c r="E48" s="7" t="s">
        <v>220</v>
      </c>
      <c r="F48" s="36" t="s">
        <v>125</v>
      </c>
      <c r="G48" s="7"/>
      <c r="H48" s="7" t="s">
        <v>118</v>
      </c>
      <c r="I48" s="7"/>
      <c r="J48" s="7"/>
      <c r="K48" s="7" t="s">
        <v>206</v>
      </c>
      <c r="L48" s="7"/>
      <c r="M48" s="7"/>
      <c r="N48" s="7"/>
      <c r="O48" s="8" t="s">
        <v>221</v>
      </c>
      <c r="P48" s="8"/>
    </row>
    <row r="49" spans="1:16" x14ac:dyDescent="0.35">
      <c r="A49" s="27" t="str">
        <f t="shared" si="0"/>
        <v>9CDF</v>
      </c>
      <c r="B49" s="27">
        <f t="shared" si="1"/>
        <v>40159</v>
      </c>
      <c r="C49" s="7">
        <v>90</v>
      </c>
      <c r="D49" s="7"/>
      <c r="E49" s="7" t="s">
        <v>222</v>
      </c>
      <c r="F49" s="36" t="s">
        <v>125</v>
      </c>
      <c r="G49" s="7"/>
      <c r="H49" s="7" t="s">
        <v>118</v>
      </c>
      <c r="I49" s="7"/>
      <c r="J49" s="7"/>
      <c r="K49" s="7" t="s">
        <v>206</v>
      </c>
      <c r="L49" s="7"/>
      <c r="M49" s="7"/>
      <c r="N49" s="7"/>
      <c r="O49" s="8" t="s">
        <v>223</v>
      </c>
      <c r="P49" s="8"/>
    </row>
    <row r="50" spans="1:16" x14ac:dyDescent="0.35">
      <c r="A50" s="27" t="str">
        <f t="shared" si="0"/>
        <v>9CE1</v>
      </c>
      <c r="B50" s="27">
        <f t="shared" si="1"/>
        <v>40161</v>
      </c>
      <c r="C50" s="7">
        <v>92</v>
      </c>
      <c r="D50" s="7"/>
      <c r="E50" s="7" t="s">
        <v>224</v>
      </c>
      <c r="F50" s="32"/>
      <c r="G50" s="7"/>
      <c r="H50" s="7" t="s">
        <v>118</v>
      </c>
      <c r="I50" s="7"/>
      <c r="J50" s="7"/>
      <c r="K50" s="7" t="s">
        <v>225</v>
      </c>
      <c r="L50" s="7"/>
      <c r="M50" s="7"/>
      <c r="N50" s="7"/>
      <c r="O50" s="8" t="s">
        <v>226</v>
      </c>
      <c r="P50" s="8" t="s">
        <v>227</v>
      </c>
    </row>
    <row r="51" spans="1:16" ht="29" x14ac:dyDescent="0.35">
      <c r="A51" s="27" t="str">
        <f t="shared" si="0"/>
        <v>9CE3</v>
      </c>
      <c r="B51" s="27">
        <f t="shared" si="1"/>
        <v>40163</v>
      </c>
      <c r="C51" s="7">
        <v>94</v>
      </c>
      <c r="D51" s="7"/>
      <c r="E51" s="7" t="s">
        <v>228</v>
      </c>
      <c r="F51" s="36" t="s">
        <v>125</v>
      </c>
      <c r="G51" s="7"/>
      <c r="H51" s="7" t="s">
        <v>118</v>
      </c>
      <c r="I51" s="7"/>
      <c r="J51" s="7"/>
      <c r="K51" s="7" t="s">
        <v>225</v>
      </c>
      <c r="L51" s="7"/>
      <c r="M51" s="7"/>
      <c r="N51" s="7"/>
      <c r="O51" s="8" t="s">
        <v>229</v>
      </c>
      <c r="P51" s="8"/>
    </row>
    <row r="52" spans="1:16" ht="29" x14ac:dyDescent="0.35">
      <c r="A52" s="27" t="str">
        <f t="shared" si="0"/>
        <v>9CE5</v>
      </c>
      <c r="B52" s="27">
        <f t="shared" si="1"/>
        <v>40165</v>
      </c>
      <c r="C52" s="7">
        <v>96</v>
      </c>
      <c r="D52" s="7"/>
      <c r="E52" s="7" t="s">
        <v>230</v>
      </c>
      <c r="F52" s="36" t="s">
        <v>125</v>
      </c>
      <c r="G52" s="7"/>
      <c r="H52" s="7" t="s">
        <v>118</v>
      </c>
      <c r="I52" s="7"/>
      <c r="J52" s="7"/>
      <c r="K52" s="7" t="s">
        <v>225</v>
      </c>
      <c r="L52" s="7"/>
      <c r="M52" s="7"/>
      <c r="N52" s="7"/>
      <c r="O52" s="8" t="s">
        <v>231</v>
      </c>
      <c r="P52" s="8"/>
    </row>
    <row r="53" spans="1:16" ht="29" x14ac:dyDescent="0.35">
      <c r="A53" s="27" t="str">
        <f t="shared" si="0"/>
        <v>9CE7</v>
      </c>
      <c r="B53" s="27">
        <f t="shared" si="1"/>
        <v>40167</v>
      </c>
      <c r="C53" s="7">
        <v>98</v>
      </c>
      <c r="D53" s="7"/>
      <c r="E53" s="7" t="s">
        <v>232</v>
      </c>
      <c r="F53" s="36" t="s">
        <v>125</v>
      </c>
      <c r="G53" s="7"/>
      <c r="H53" s="7" t="s">
        <v>118</v>
      </c>
      <c r="I53" s="7"/>
      <c r="J53" s="7"/>
      <c r="K53" s="7" t="s">
        <v>225</v>
      </c>
      <c r="L53" s="7"/>
      <c r="M53" s="7"/>
      <c r="N53" s="7"/>
      <c r="O53" s="8" t="s">
        <v>233</v>
      </c>
      <c r="P53" s="8"/>
    </row>
    <row r="54" spans="1:16" x14ac:dyDescent="0.35">
      <c r="A54" s="27" t="str">
        <f t="shared" si="0"/>
        <v>9CE9</v>
      </c>
      <c r="B54" s="27">
        <f t="shared" si="1"/>
        <v>40169</v>
      </c>
      <c r="C54" s="7">
        <v>100</v>
      </c>
      <c r="D54" s="7"/>
      <c r="E54" s="7" t="s">
        <v>234</v>
      </c>
      <c r="F54" s="7"/>
      <c r="G54" s="7"/>
      <c r="H54" s="7" t="s">
        <v>118</v>
      </c>
      <c r="I54" s="7"/>
      <c r="J54" s="7"/>
      <c r="K54" s="7" t="s">
        <v>225</v>
      </c>
      <c r="L54" s="7"/>
      <c r="M54" s="7"/>
      <c r="N54" s="7"/>
      <c r="O54" s="8" t="s">
        <v>235</v>
      </c>
      <c r="P54" s="8" t="s">
        <v>236</v>
      </c>
    </row>
    <row r="55" spans="1:16" ht="29" x14ac:dyDescent="0.35">
      <c r="A55" s="27" t="str">
        <f t="shared" si="0"/>
        <v>9CEB</v>
      </c>
      <c r="B55" s="27">
        <f t="shared" si="1"/>
        <v>40171</v>
      </c>
      <c r="C55" s="7">
        <v>102</v>
      </c>
      <c r="D55" s="7"/>
      <c r="E55" s="7" t="s">
        <v>237</v>
      </c>
      <c r="F55" s="36" t="s">
        <v>125</v>
      </c>
      <c r="G55" s="7"/>
      <c r="H55" s="7" t="s">
        <v>118</v>
      </c>
      <c r="I55" s="7"/>
      <c r="J55" s="7"/>
      <c r="K55" s="7" t="s">
        <v>225</v>
      </c>
      <c r="L55" s="7"/>
      <c r="M55" s="7"/>
      <c r="N55" s="7"/>
      <c r="O55" s="8" t="s">
        <v>238</v>
      </c>
      <c r="P55" s="8"/>
    </row>
    <row r="56" spans="1:16" ht="29" x14ac:dyDescent="0.35">
      <c r="A56" s="27" t="str">
        <f t="shared" si="0"/>
        <v>9CED</v>
      </c>
      <c r="B56" s="27">
        <f t="shared" si="1"/>
        <v>40173</v>
      </c>
      <c r="C56" s="7">
        <v>104</v>
      </c>
      <c r="D56" s="7"/>
      <c r="E56" s="7" t="s">
        <v>239</v>
      </c>
      <c r="F56" s="36" t="s">
        <v>125</v>
      </c>
      <c r="G56" s="7"/>
      <c r="H56" s="7" t="s">
        <v>118</v>
      </c>
      <c r="I56" s="7"/>
      <c r="J56" s="7"/>
      <c r="K56" s="7" t="s">
        <v>225</v>
      </c>
      <c r="L56" s="7"/>
      <c r="M56" s="7"/>
      <c r="N56" s="7"/>
      <c r="O56" s="8" t="s">
        <v>240</v>
      </c>
      <c r="P56" s="8"/>
    </row>
    <row r="57" spans="1:16" ht="29" x14ac:dyDescent="0.35">
      <c r="A57" s="27" t="str">
        <f t="shared" si="0"/>
        <v>9CEF</v>
      </c>
      <c r="B57" s="27">
        <f t="shared" si="1"/>
        <v>40175</v>
      </c>
      <c r="C57" s="7">
        <v>106</v>
      </c>
      <c r="D57" s="7"/>
      <c r="E57" s="7" t="s">
        <v>241</v>
      </c>
      <c r="F57" s="36" t="s">
        <v>125</v>
      </c>
      <c r="G57" s="7"/>
      <c r="H57" s="7" t="s">
        <v>118</v>
      </c>
      <c r="I57" s="7"/>
      <c r="J57" s="7"/>
      <c r="K57" s="7" t="s">
        <v>225</v>
      </c>
      <c r="L57" s="7"/>
      <c r="M57" s="7"/>
      <c r="N57" s="7"/>
      <c r="O57" s="8" t="s">
        <v>242</v>
      </c>
      <c r="P57" s="8"/>
    </row>
    <row r="58" spans="1:16" x14ac:dyDescent="0.35">
      <c r="A58" s="27" t="str">
        <f t="shared" si="0"/>
        <v>9CF1</v>
      </c>
      <c r="B58" s="27">
        <f t="shared" si="1"/>
        <v>40177</v>
      </c>
      <c r="C58" s="7">
        <v>108</v>
      </c>
      <c r="D58" s="7"/>
      <c r="E58" s="7" t="s">
        <v>243</v>
      </c>
      <c r="F58" s="7"/>
      <c r="G58" s="7"/>
      <c r="H58" s="7" t="s">
        <v>118</v>
      </c>
      <c r="I58" s="7"/>
      <c r="J58" s="7"/>
      <c r="K58" s="7" t="s">
        <v>225</v>
      </c>
      <c r="L58" s="7"/>
      <c r="M58" s="7"/>
      <c r="N58" s="7"/>
      <c r="O58" s="8" t="s">
        <v>244</v>
      </c>
      <c r="P58" s="8" t="s">
        <v>245</v>
      </c>
    </row>
    <row r="59" spans="1:16" ht="29" x14ac:dyDescent="0.35">
      <c r="A59" s="27" t="str">
        <f t="shared" si="0"/>
        <v>9CF3</v>
      </c>
      <c r="B59" s="27">
        <f t="shared" si="1"/>
        <v>40179</v>
      </c>
      <c r="C59" s="7">
        <v>110</v>
      </c>
      <c r="D59" s="7"/>
      <c r="E59" s="7" t="s">
        <v>246</v>
      </c>
      <c r="F59" s="36" t="s">
        <v>125</v>
      </c>
      <c r="G59" s="7"/>
      <c r="H59" s="7" t="s">
        <v>118</v>
      </c>
      <c r="I59" s="7"/>
      <c r="J59" s="7"/>
      <c r="K59" s="7" t="s">
        <v>225</v>
      </c>
      <c r="L59" s="7"/>
      <c r="M59" s="7"/>
      <c r="N59" s="7"/>
      <c r="O59" s="8" t="s">
        <v>247</v>
      </c>
      <c r="P59" s="8"/>
    </row>
    <row r="60" spans="1:16" ht="29" x14ac:dyDescent="0.35">
      <c r="A60" s="27" t="str">
        <f t="shared" si="0"/>
        <v>9CF5</v>
      </c>
      <c r="B60" s="27">
        <f t="shared" si="1"/>
        <v>40181</v>
      </c>
      <c r="C60" s="7">
        <v>112</v>
      </c>
      <c r="D60" s="7"/>
      <c r="E60" s="7" t="s">
        <v>248</v>
      </c>
      <c r="F60" s="36" t="s">
        <v>125</v>
      </c>
      <c r="G60" s="7"/>
      <c r="H60" s="7" t="s">
        <v>118</v>
      </c>
      <c r="I60" s="7"/>
      <c r="J60" s="7"/>
      <c r="K60" s="7" t="s">
        <v>225</v>
      </c>
      <c r="L60" s="7"/>
      <c r="M60" s="7"/>
      <c r="N60" s="7"/>
      <c r="O60" s="8" t="s">
        <v>249</v>
      </c>
      <c r="P60" s="8"/>
    </row>
    <row r="61" spans="1:16" ht="29" x14ac:dyDescent="0.35">
      <c r="A61" s="27" t="str">
        <f t="shared" si="0"/>
        <v>9CF7</v>
      </c>
      <c r="B61" s="27">
        <f t="shared" si="1"/>
        <v>40183</v>
      </c>
      <c r="C61" s="7">
        <v>114</v>
      </c>
      <c r="D61" s="7"/>
      <c r="E61" s="7" t="s">
        <v>250</v>
      </c>
      <c r="F61" s="36" t="s">
        <v>125</v>
      </c>
      <c r="G61" s="7"/>
      <c r="H61" s="7" t="s">
        <v>118</v>
      </c>
      <c r="I61" s="7"/>
      <c r="J61" s="7"/>
      <c r="K61" s="7" t="s">
        <v>225</v>
      </c>
      <c r="L61" s="7"/>
      <c r="M61" s="7"/>
      <c r="N61" s="7"/>
      <c r="O61" s="8" t="s">
        <v>251</v>
      </c>
      <c r="P61" s="8"/>
    </row>
    <row r="62" spans="1:16" x14ac:dyDescent="0.35">
      <c r="A62" s="27" t="str">
        <f t="shared" si="0"/>
        <v>9CF9</v>
      </c>
      <c r="B62" s="27">
        <f t="shared" si="1"/>
        <v>40185</v>
      </c>
      <c r="C62" s="7">
        <v>116</v>
      </c>
      <c r="D62" s="7"/>
      <c r="E62" s="7" t="s">
        <v>252</v>
      </c>
      <c r="F62" s="7"/>
      <c r="G62" s="7"/>
      <c r="H62" s="7" t="s">
        <v>118</v>
      </c>
      <c r="I62" s="7"/>
      <c r="J62" s="7"/>
      <c r="K62" s="7" t="s">
        <v>225</v>
      </c>
      <c r="L62" s="7"/>
      <c r="M62" s="7"/>
      <c r="N62" s="7"/>
      <c r="O62" s="8" t="s">
        <v>253</v>
      </c>
      <c r="P62" s="8" t="s">
        <v>254</v>
      </c>
    </row>
    <row r="63" spans="1:16" ht="29" x14ac:dyDescent="0.35">
      <c r="A63" s="27" t="str">
        <f t="shared" si="0"/>
        <v>9CFB</v>
      </c>
      <c r="B63" s="27">
        <f t="shared" si="1"/>
        <v>40187</v>
      </c>
      <c r="C63" s="7">
        <v>118</v>
      </c>
      <c r="D63" s="7"/>
      <c r="E63" s="7" t="s">
        <v>255</v>
      </c>
      <c r="F63" s="36" t="s">
        <v>125</v>
      </c>
      <c r="G63" s="7"/>
      <c r="H63" s="7" t="s">
        <v>118</v>
      </c>
      <c r="I63" s="7"/>
      <c r="J63" s="7"/>
      <c r="K63" s="7" t="s">
        <v>225</v>
      </c>
      <c r="L63" s="7"/>
      <c r="M63" s="7"/>
      <c r="N63" s="7"/>
      <c r="O63" s="8" t="s">
        <v>256</v>
      </c>
      <c r="P63" s="8"/>
    </row>
    <row r="64" spans="1:16" ht="29" x14ac:dyDescent="0.35">
      <c r="A64" s="27" t="str">
        <f t="shared" si="0"/>
        <v>9CFD</v>
      </c>
      <c r="B64" s="27">
        <f t="shared" si="1"/>
        <v>40189</v>
      </c>
      <c r="C64" s="7">
        <v>120</v>
      </c>
      <c r="D64" s="7"/>
      <c r="E64" s="7" t="s">
        <v>257</v>
      </c>
      <c r="F64" s="36" t="s">
        <v>125</v>
      </c>
      <c r="G64" s="7"/>
      <c r="H64" s="7" t="s">
        <v>118</v>
      </c>
      <c r="I64" s="7"/>
      <c r="J64" s="7"/>
      <c r="K64" s="7" t="s">
        <v>225</v>
      </c>
      <c r="L64" s="7"/>
      <c r="M64" s="7"/>
      <c r="N64" s="7"/>
      <c r="O64" s="8" t="s">
        <v>258</v>
      </c>
      <c r="P64" s="8"/>
    </row>
    <row r="65" spans="1:16" ht="29" x14ac:dyDescent="0.35">
      <c r="A65" s="27" t="str">
        <f t="shared" si="0"/>
        <v>9CFF</v>
      </c>
      <c r="B65" s="27">
        <f t="shared" si="1"/>
        <v>40191</v>
      </c>
      <c r="C65" s="7">
        <v>122</v>
      </c>
      <c r="D65" s="7"/>
      <c r="E65" s="7" t="s">
        <v>259</v>
      </c>
      <c r="F65" s="36" t="s">
        <v>125</v>
      </c>
      <c r="G65" s="7"/>
      <c r="H65" s="7" t="s">
        <v>118</v>
      </c>
      <c r="I65" s="7"/>
      <c r="J65" s="7"/>
      <c r="K65" s="7" t="s">
        <v>225</v>
      </c>
      <c r="L65" s="7"/>
      <c r="M65" s="7"/>
      <c r="N65" s="7"/>
      <c r="O65" s="8" t="s">
        <v>260</v>
      </c>
      <c r="P65" s="8"/>
    </row>
    <row r="66" spans="1:16" x14ac:dyDescent="0.35">
      <c r="A66" s="27" t="str">
        <f>DEC2HEX(B66)</f>
        <v>9D01</v>
      </c>
      <c r="B66" s="27">
        <f>$D$2+C66</f>
        <v>40193</v>
      </c>
      <c r="C66" s="7">
        <v>124</v>
      </c>
      <c r="D66" s="7"/>
      <c r="E66" s="7" t="s">
        <v>261</v>
      </c>
      <c r="F66" s="7"/>
      <c r="G66" s="7"/>
      <c r="H66" s="7" t="s">
        <v>262</v>
      </c>
      <c r="I66" s="7"/>
      <c r="J66" s="7"/>
      <c r="K66" s="7"/>
      <c r="L66" s="7"/>
      <c r="M66" s="7" t="s">
        <v>89</v>
      </c>
      <c r="N66" s="7"/>
      <c r="O66" s="8" t="s">
        <v>263</v>
      </c>
      <c r="P66" s="8" t="s">
        <v>264</v>
      </c>
    </row>
    <row r="67" spans="1:16" x14ac:dyDescent="0.35">
      <c r="C67" s="9"/>
      <c r="D67" s="9"/>
      <c r="E67" s="9" t="s">
        <v>265</v>
      </c>
      <c r="F67" s="9">
        <v>2</v>
      </c>
      <c r="G67" s="9"/>
      <c r="H67" s="9"/>
      <c r="I67" s="9"/>
      <c r="J67" s="9"/>
      <c r="K67" s="9"/>
      <c r="L67" s="9"/>
      <c r="M67" s="9"/>
      <c r="N67" s="9"/>
      <c r="O67" s="10"/>
      <c r="P67" s="10"/>
    </row>
    <row r="68" spans="1:16" x14ac:dyDescent="0.35">
      <c r="C68" s="9"/>
      <c r="D68" s="9"/>
      <c r="E68" s="9" t="s">
        <v>266</v>
      </c>
      <c r="F68" s="9">
        <v>3</v>
      </c>
      <c r="G68" s="9"/>
      <c r="H68" s="9"/>
      <c r="I68" s="9"/>
      <c r="J68" s="9"/>
      <c r="K68" s="9"/>
      <c r="L68" s="9"/>
      <c r="M68" s="9"/>
      <c r="N68" s="9"/>
      <c r="O68" s="10"/>
      <c r="P68" s="10"/>
    </row>
    <row r="69" spans="1:16" x14ac:dyDescent="0.35">
      <c r="C69" s="9"/>
      <c r="D69" s="9"/>
      <c r="E69" s="9" t="s">
        <v>267</v>
      </c>
      <c r="F69" s="9">
        <v>4</v>
      </c>
      <c r="G69" s="9"/>
      <c r="H69" s="9"/>
      <c r="I69" s="9"/>
      <c r="J69" s="9"/>
      <c r="K69" s="9"/>
      <c r="L69" s="9"/>
      <c r="M69" s="9"/>
      <c r="N69" s="9"/>
      <c r="O69" s="10"/>
      <c r="P69" s="10"/>
    </row>
    <row r="70" spans="1:16" x14ac:dyDescent="0.35">
      <c r="C70" s="9"/>
      <c r="D70" s="9"/>
      <c r="E70" s="9" t="s">
        <v>268</v>
      </c>
      <c r="F70" s="9">
        <v>5</v>
      </c>
      <c r="G70" s="9"/>
      <c r="H70" s="9"/>
      <c r="I70" s="9"/>
      <c r="J70" s="9"/>
      <c r="K70" s="9"/>
      <c r="L70" s="9"/>
      <c r="M70" s="9"/>
      <c r="N70" s="9"/>
      <c r="O70" s="10"/>
      <c r="P70" s="10"/>
    </row>
    <row r="71" spans="1:16" x14ac:dyDescent="0.35">
      <c r="C71" s="9"/>
      <c r="D71" s="9"/>
      <c r="E71" s="9" t="s">
        <v>269</v>
      </c>
      <c r="F71" s="9">
        <v>6</v>
      </c>
      <c r="G71" s="9"/>
      <c r="H71" s="9"/>
      <c r="I71" s="9"/>
      <c r="J71" s="9"/>
      <c r="K71" s="9"/>
      <c r="L71" s="9"/>
      <c r="M71" s="9"/>
      <c r="N71" s="9"/>
      <c r="O71" s="10"/>
      <c r="P71" s="10"/>
    </row>
    <row r="72" spans="1:16" x14ac:dyDescent="0.35">
      <c r="C72" s="9"/>
      <c r="D72" s="9"/>
      <c r="E72" s="9" t="s">
        <v>270</v>
      </c>
      <c r="F72" s="9">
        <v>7</v>
      </c>
      <c r="G72" s="9"/>
      <c r="H72" s="9"/>
      <c r="I72" s="9"/>
      <c r="J72" s="9"/>
      <c r="K72" s="9"/>
      <c r="L72" s="9"/>
      <c r="M72" s="9"/>
      <c r="N72" s="9"/>
      <c r="O72" s="10"/>
      <c r="P72" s="10"/>
    </row>
    <row r="73" spans="1:16" x14ac:dyDescent="0.35">
      <c r="C73" s="9"/>
      <c r="D73" s="9"/>
      <c r="E73" s="9" t="s">
        <v>271</v>
      </c>
      <c r="F73" s="9">
        <v>8</v>
      </c>
      <c r="G73" s="9"/>
      <c r="H73" s="9"/>
      <c r="I73" s="9"/>
      <c r="J73" s="9"/>
      <c r="K73" s="9"/>
      <c r="L73" s="9"/>
      <c r="M73" s="9"/>
      <c r="N73" s="9"/>
      <c r="O73" s="10"/>
      <c r="P73" s="10"/>
    </row>
    <row r="74" spans="1:16" x14ac:dyDescent="0.35">
      <c r="C74" s="9"/>
      <c r="D74" s="9"/>
      <c r="E74" s="9" t="s">
        <v>272</v>
      </c>
      <c r="F74" s="9">
        <v>9</v>
      </c>
      <c r="G74" s="9"/>
      <c r="H74" s="9"/>
      <c r="I74" s="9"/>
      <c r="J74" s="9"/>
      <c r="K74" s="9"/>
      <c r="L74" s="9"/>
      <c r="M74" s="9"/>
      <c r="N74" s="9"/>
      <c r="O74" s="10"/>
      <c r="P74" s="10"/>
    </row>
    <row r="75" spans="1:16" x14ac:dyDescent="0.35">
      <c r="C75" s="9"/>
      <c r="D75" s="9"/>
      <c r="E75" s="9" t="s">
        <v>273</v>
      </c>
      <c r="F75" s="9">
        <v>10</v>
      </c>
      <c r="G75" s="9"/>
      <c r="H75" s="9"/>
      <c r="I75" s="9"/>
      <c r="J75" s="9"/>
      <c r="K75" s="9"/>
      <c r="L75" s="9"/>
      <c r="M75" s="9"/>
      <c r="N75" s="9"/>
      <c r="O75" s="10"/>
      <c r="P75" s="10"/>
    </row>
    <row r="76" spans="1:16" x14ac:dyDescent="0.35">
      <c r="C76" s="9"/>
      <c r="D76" s="9"/>
      <c r="E76" s="9" t="s">
        <v>274</v>
      </c>
      <c r="F76" s="9">
        <v>11</v>
      </c>
      <c r="G76" s="9"/>
      <c r="H76" s="9"/>
      <c r="I76" s="9"/>
      <c r="J76" s="9"/>
      <c r="K76" s="9"/>
      <c r="L76" s="9"/>
      <c r="M76" s="9"/>
      <c r="N76" s="9"/>
      <c r="O76" s="10"/>
      <c r="P76" s="10"/>
    </row>
    <row r="77" spans="1:16" x14ac:dyDescent="0.35">
      <c r="C77" s="9"/>
      <c r="D77" s="9"/>
      <c r="E77" s="9" t="s">
        <v>275</v>
      </c>
      <c r="F77" s="9">
        <v>12</v>
      </c>
      <c r="G77" s="9"/>
      <c r="H77" s="9"/>
      <c r="I77" s="9"/>
      <c r="J77" s="9"/>
      <c r="K77" s="9"/>
      <c r="L77" s="9"/>
      <c r="M77" s="9"/>
      <c r="N77" s="9"/>
      <c r="O77" s="10"/>
      <c r="P77" s="10"/>
    </row>
    <row r="78" spans="1:16" x14ac:dyDescent="0.35">
      <c r="C78" s="9"/>
      <c r="D78" s="9"/>
      <c r="E78" s="9" t="s">
        <v>276</v>
      </c>
      <c r="F78" s="9">
        <v>13</v>
      </c>
      <c r="G78" s="9"/>
      <c r="H78" s="9"/>
      <c r="I78" s="9"/>
      <c r="J78" s="9"/>
      <c r="K78" s="9"/>
      <c r="L78" s="9"/>
      <c r="M78" s="9"/>
      <c r="N78" s="9"/>
      <c r="O78" s="10"/>
      <c r="P78" s="10"/>
    </row>
    <row r="79" spans="1:16" x14ac:dyDescent="0.35">
      <c r="C79" s="9"/>
      <c r="D79" s="9"/>
      <c r="E79" s="9" t="s">
        <v>277</v>
      </c>
      <c r="F79" s="9">
        <v>14</v>
      </c>
      <c r="G79" s="9"/>
      <c r="H79" s="9"/>
      <c r="I79" s="9"/>
      <c r="J79" s="9"/>
      <c r="K79" s="9"/>
      <c r="L79" s="9"/>
      <c r="M79" s="9"/>
      <c r="N79" s="9"/>
      <c r="O79" s="10"/>
      <c r="P79" s="10"/>
    </row>
    <row r="80" spans="1:16" x14ac:dyDescent="0.35">
      <c r="C80" s="9"/>
      <c r="D80" s="9"/>
      <c r="E80" s="9" t="s">
        <v>278</v>
      </c>
      <c r="F80" s="9">
        <v>15</v>
      </c>
      <c r="G80" s="9"/>
      <c r="H80" s="9"/>
      <c r="I80" s="9"/>
      <c r="J80" s="9"/>
      <c r="K80" s="9"/>
      <c r="L80" s="9"/>
      <c r="M80" s="9"/>
      <c r="N80" s="9"/>
      <c r="O80" s="10"/>
      <c r="P80" s="10"/>
    </row>
    <row r="81" spans="3:16" x14ac:dyDescent="0.35">
      <c r="C81" s="9"/>
      <c r="D81" s="9"/>
      <c r="E81" s="9" t="s">
        <v>279</v>
      </c>
      <c r="F81" s="9">
        <v>16</v>
      </c>
      <c r="G81" s="9"/>
      <c r="H81" s="9"/>
      <c r="I81" s="9"/>
      <c r="J81" s="9"/>
      <c r="K81" s="9"/>
      <c r="L81" s="9"/>
      <c r="M81" s="9"/>
      <c r="N81" s="9"/>
      <c r="O81" s="10"/>
      <c r="P81" s="10"/>
    </row>
    <row r="82" spans="3:16" x14ac:dyDescent="0.35">
      <c r="C82" s="9"/>
      <c r="D82" s="9"/>
      <c r="E82" s="9" t="s">
        <v>280</v>
      </c>
      <c r="F82" s="9">
        <v>17</v>
      </c>
      <c r="G82" s="9"/>
      <c r="H82" s="9"/>
      <c r="I82" s="9"/>
      <c r="J82" s="9"/>
      <c r="K82" s="9"/>
      <c r="L82" s="9"/>
      <c r="M82" s="9"/>
      <c r="N82" s="9"/>
      <c r="O82" s="10"/>
      <c r="P82" s="10"/>
    </row>
    <row r="83" spans="3:16" x14ac:dyDescent="0.35">
      <c r="C83" s="9"/>
      <c r="D83" s="9"/>
      <c r="E83" s="9" t="s">
        <v>281</v>
      </c>
      <c r="F83" s="9">
        <v>18</v>
      </c>
      <c r="G83" s="9"/>
      <c r="H83" s="9"/>
      <c r="I83" s="9"/>
      <c r="J83" s="9"/>
      <c r="K83" s="9"/>
      <c r="L83" s="9"/>
      <c r="M83" s="9"/>
      <c r="N83" s="9"/>
      <c r="O83" s="10"/>
      <c r="P83" s="10"/>
    </row>
    <row r="84" spans="3:16" x14ac:dyDescent="0.35">
      <c r="C84" s="9"/>
      <c r="D84" s="9"/>
      <c r="E84" s="9" t="s">
        <v>282</v>
      </c>
      <c r="F84" s="9">
        <v>19</v>
      </c>
      <c r="G84" s="9"/>
      <c r="H84" s="9"/>
      <c r="I84" s="9"/>
      <c r="J84" s="9"/>
      <c r="K84" s="9"/>
      <c r="L84" s="9"/>
      <c r="M84" s="9"/>
      <c r="N84" s="9"/>
      <c r="O84" s="10"/>
      <c r="P84" s="10"/>
    </row>
    <row r="85" spans="3:16" x14ac:dyDescent="0.35">
      <c r="C85" s="9"/>
      <c r="D85" s="9"/>
      <c r="E85" s="9" t="s">
        <v>283</v>
      </c>
      <c r="F85" s="9">
        <v>20</v>
      </c>
      <c r="G85" s="9"/>
      <c r="H85" s="9"/>
      <c r="I85" s="9"/>
      <c r="J85" s="9"/>
      <c r="K85" s="9"/>
      <c r="L85" s="9"/>
      <c r="M85" s="9"/>
      <c r="N85" s="9"/>
      <c r="O85" s="10"/>
      <c r="P85" s="10"/>
    </row>
    <row r="86" spans="3:16" x14ac:dyDescent="0.35">
      <c r="C86" s="9"/>
      <c r="D86" s="9"/>
      <c r="E86" s="9" t="s">
        <v>284</v>
      </c>
      <c r="F86" s="9">
        <v>21</v>
      </c>
      <c r="G86" s="9"/>
      <c r="H86" s="9"/>
      <c r="I86" s="9"/>
      <c r="J86" s="9"/>
      <c r="K86" s="9"/>
      <c r="L86" s="9"/>
      <c r="M86" s="9"/>
      <c r="N86" s="9"/>
      <c r="O86" s="10"/>
      <c r="P86" s="10"/>
    </row>
    <row r="87" spans="3:16" x14ac:dyDescent="0.35">
      <c r="C87" s="9"/>
      <c r="D87" s="9"/>
      <c r="E87" s="9" t="s">
        <v>285</v>
      </c>
      <c r="F87" s="9">
        <v>22</v>
      </c>
      <c r="G87" s="9"/>
      <c r="H87" s="9"/>
      <c r="I87" s="9"/>
      <c r="J87" s="9"/>
      <c r="K87" s="9"/>
      <c r="L87" s="9"/>
      <c r="M87" s="9"/>
      <c r="N87" s="9"/>
      <c r="O87" s="10"/>
      <c r="P87" s="10"/>
    </row>
    <row r="88" spans="3:16" x14ac:dyDescent="0.35">
      <c r="C88" s="9"/>
      <c r="D88" s="9"/>
      <c r="E88" s="9" t="s">
        <v>286</v>
      </c>
      <c r="F88" s="9">
        <v>23</v>
      </c>
      <c r="G88" s="9"/>
      <c r="H88" s="9"/>
      <c r="I88" s="9"/>
      <c r="J88" s="9"/>
      <c r="K88" s="9"/>
      <c r="L88" s="9"/>
      <c r="M88" s="9"/>
      <c r="N88" s="9"/>
      <c r="O88" s="10"/>
      <c r="P88" s="10"/>
    </row>
    <row r="89" spans="3:16" x14ac:dyDescent="0.35">
      <c r="C89" s="9"/>
      <c r="D89" s="9"/>
      <c r="E89" s="9" t="s">
        <v>287</v>
      </c>
      <c r="F89" s="9">
        <v>24</v>
      </c>
      <c r="G89" s="9"/>
      <c r="H89" s="9"/>
      <c r="I89" s="9"/>
      <c r="J89" s="9"/>
      <c r="K89" s="9"/>
      <c r="L89" s="9"/>
      <c r="M89" s="9"/>
      <c r="N89" s="9"/>
      <c r="O89" s="10"/>
      <c r="P89" s="10"/>
    </row>
    <row r="90" spans="3:16" x14ac:dyDescent="0.35">
      <c r="C90" s="9"/>
      <c r="D90" s="9"/>
      <c r="E90" s="9" t="s">
        <v>288</v>
      </c>
      <c r="F90" s="9">
        <v>25</v>
      </c>
      <c r="G90" s="9"/>
      <c r="H90" s="9"/>
      <c r="I90" s="9"/>
      <c r="J90" s="9"/>
      <c r="K90" s="9"/>
      <c r="L90" s="9"/>
      <c r="M90" s="9"/>
      <c r="N90" s="9"/>
      <c r="O90" s="10"/>
      <c r="P90" s="10"/>
    </row>
    <row r="91" spans="3:16" x14ac:dyDescent="0.35">
      <c r="C91" s="9"/>
      <c r="D91" s="9"/>
      <c r="E91" s="9" t="s">
        <v>289</v>
      </c>
      <c r="F91" s="9">
        <v>26</v>
      </c>
      <c r="G91" s="9"/>
      <c r="H91" s="9"/>
      <c r="I91" s="9"/>
      <c r="J91" s="9"/>
      <c r="K91" s="9"/>
      <c r="L91" s="9"/>
      <c r="M91" s="9"/>
      <c r="N91" s="9"/>
      <c r="O91" s="10"/>
      <c r="P91" s="10"/>
    </row>
    <row r="92" spans="3:16" x14ac:dyDescent="0.35">
      <c r="C92" s="9"/>
      <c r="D92" s="9"/>
      <c r="E92" s="9" t="s">
        <v>290</v>
      </c>
      <c r="F92" s="9">
        <v>27</v>
      </c>
      <c r="G92" s="9"/>
      <c r="H92" s="9"/>
      <c r="I92" s="9"/>
      <c r="J92" s="9"/>
      <c r="K92" s="9"/>
      <c r="L92" s="9"/>
      <c r="M92" s="9"/>
      <c r="N92" s="9"/>
      <c r="O92" s="10"/>
      <c r="P92" s="10"/>
    </row>
    <row r="93" spans="3:16" x14ac:dyDescent="0.35">
      <c r="C93" s="9"/>
      <c r="D93" s="9"/>
      <c r="E93" s="9" t="s">
        <v>291</v>
      </c>
      <c r="F93" s="9">
        <v>28</v>
      </c>
      <c r="G93" s="9"/>
      <c r="H93" s="9"/>
      <c r="I93" s="9"/>
      <c r="J93" s="9"/>
      <c r="K93" s="9"/>
      <c r="L93" s="9"/>
      <c r="M93" s="9"/>
      <c r="N93" s="9"/>
      <c r="O93" s="10"/>
      <c r="P93" s="10"/>
    </row>
    <row r="94" spans="3:16" x14ac:dyDescent="0.35">
      <c r="C94" s="9"/>
      <c r="D94" s="9"/>
      <c r="E94" s="9" t="s">
        <v>292</v>
      </c>
      <c r="F94" s="9">
        <v>29</v>
      </c>
      <c r="G94" s="9"/>
      <c r="H94" s="9"/>
      <c r="I94" s="9"/>
      <c r="J94" s="9"/>
      <c r="K94" s="9"/>
      <c r="L94" s="9"/>
      <c r="M94" s="9"/>
      <c r="N94" s="9"/>
      <c r="O94" s="10"/>
      <c r="P94" s="10"/>
    </row>
    <row r="95" spans="3:16" x14ac:dyDescent="0.35">
      <c r="C95" s="9"/>
      <c r="D95" s="9"/>
      <c r="E95" s="9" t="s">
        <v>293</v>
      </c>
      <c r="F95" s="9">
        <v>30</v>
      </c>
      <c r="G95" s="9"/>
      <c r="H95" s="9"/>
      <c r="I95" s="9"/>
      <c r="J95" s="9"/>
      <c r="K95" s="9"/>
      <c r="L95" s="9"/>
      <c r="M95" s="9"/>
      <c r="N95" s="9"/>
      <c r="O95" s="10"/>
      <c r="P95" s="10"/>
    </row>
  </sheetData>
  <mergeCells count="1">
    <mergeCell ref="A1:B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95"/>
  <sheetViews>
    <sheetView workbookViewId="0">
      <selection activeCell="F42" sqref="F42:F49"/>
    </sheetView>
  </sheetViews>
  <sheetFormatPr defaultRowHeight="14.5" x14ac:dyDescent="0.35"/>
  <cols>
    <col min="5" max="5" width="25" customWidth="1"/>
    <col min="6" max="6" width="32.7265625" bestFit="1" customWidth="1"/>
    <col min="7" max="14" width="12" customWidth="1"/>
    <col min="15" max="15" width="30" customWidth="1"/>
    <col min="16" max="16" width="60" customWidth="1"/>
  </cols>
  <sheetData>
    <row r="1" spans="1:16" ht="29" x14ac:dyDescent="0.35">
      <c r="A1" s="38" t="s">
        <v>70</v>
      </c>
      <c r="B1" s="38"/>
      <c r="C1" s="1" t="s">
        <v>71</v>
      </c>
      <c r="D1" s="1" t="s">
        <v>72</v>
      </c>
      <c r="E1" s="1" t="s">
        <v>73</v>
      </c>
      <c r="F1" s="1" t="s">
        <v>74</v>
      </c>
      <c r="G1" s="1" t="s">
        <v>75</v>
      </c>
      <c r="H1" s="1" t="s">
        <v>76</v>
      </c>
      <c r="I1" s="1" t="s">
        <v>77</v>
      </c>
      <c r="J1" s="1" t="s">
        <v>78</v>
      </c>
      <c r="K1" s="1" t="s">
        <v>79</v>
      </c>
      <c r="L1" s="1" t="s">
        <v>80</v>
      </c>
      <c r="M1" s="1" t="s">
        <v>81</v>
      </c>
      <c r="N1" s="1" t="s">
        <v>82</v>
      </c>
      <c r="O1" s="1" t="s">
        <v>58</v>
      </c>
      <c r="P1" s="1" t="s">
        <v>59</v>
      </c>
    </row>
    <row r="2" spans="1:16" x14ac:dyDescent="0.35">
      <c r="A2" s="26" t="s">
        <v>83</v>
      </c>
      <c r="B2" s="26" t="s">
        <v>84</v>
      </c>
      <c r="C2" s="5"/>
      <c r="D2" s="5">
        <f>'1'!B10</f>
        <v>40068</v>
      </c>
      <c r="E2" s="5" t="s">
        <v>116</v>
      </c>
      <c r="F2" s="5"/>
      <c r="G2" s="5"/>
      <c r="H2" s="5" t="s">
        <v>86</v>
      </c>
      <c r="I2" s="5"/>
      <c r="J2" s="5"/>
      <c r="K2" s="5"/>
      <c r="L2" s="5"/>
      <c r="M2" s="5"/>
      <c r="N2" s="5"/>
      <c r="O2" s="6" t="s">
        <v>65</v>
      </c>
      <c r="P2" s="6"/>
    </row>
    <row r="3" spans="1:16" x14ac:dyDescent="0.35">
      <c r="A3" s="27" t="str">
        <f>DEC2HEX(B3)</f>
        <v>9C84</v>
      </c>
      <c r="B3" s="27">
        <f>$D$2+C3</f>
        <v>40068</v>
      </c>
      <c r="C3" s="7">
        <v>0</v>
      </c>
      <c r="D3" s="7"/>
      <c r="E3" s="7" t="s">
        <v>87</v>
      </c>
      <c r="F3" s="7">
        <v>212</v>
      </c>
      <c r="G3" s="7"/>
      <c r="H3" s="7" t="s">
        <v>88</v>
      </c>
      <c r="I3" s="7"/>
      <c r="J3" s="7"/>
      <c r="K3" s="7"/>
      <c r="L3" s="7"/>
      <c r="M3" s="7" t="s">
        <v>89</v>
      </c>
      <c r="N3" s="7" t="s">
        <v>90</v>
      </c>
      <c r="O3" s="8" t="s">
        <v>91</v>
      </c>
      <c r="P3" s="8" t="s">
        <v>92</v>
      </c>
    </row>
    <row r="4" spans="1:16" x14ac:dyDescent="0.35">
      <c r="A4" s="27" t="str">
        <f t="shared" ref="A4:A66" si="0">DEC2HEX(B4)</f>
        <v>9C85</v>
      </c>
      <c r="B4" s="27">
        <f t="shared" ref="B4:B66" si="1">$D$2+C4</f>
        <v>40069</v>
      </c>
      <c r="C4" s="7">
        <v>1</v>
      </c>
      <c r="D4" s="7"/>
      <c r="E4" s="7" t="s">
        <v>93</v>
      </c>
      <c r="F4" s="25">
        <f>B66+1-B4</f>
        <v>124</v>
      </c>
      <c r="G4" s="7"/>
      <c r="H4" s="7" t="s">
        <v>88</v>
      </c>
      <c r="I4" s="7"/>
      <c r="J4" s="7"/>
      <c r="K4" s="7"/>
      <c r="L4" s="7"/>
      <c r="M4" s="7" t="s">
        <v>89</v>
      </c>
      <c r="N4" s="7" t="s">
        <v>90</v>
      </c>
      <c r="O4" s="8" t="s">
        <v>94</v>
      </c>
      <c r="P4" s="8" t="s">
        <v>95</v>
      </c>
    </row>
    <row r="5" spans="1:16" x14ac:dyDescent="0.35">
      <c r="A5" s="27" t="str">
        <f t="shared" si="0"/>
        <v>9C86</v>
      </c>
      <c r="B5" s="27">
        <f t="shared" si="1"/>
        <v>40070</v>
      </c>
      <c r="C5" s="7">
        <v>2</v>
      </c>
      <c r="D5" s="7"/>
      <c r="E5" s="7" t="s">
        <v>117</v>
      </c>
      <c r="F5" s="7"/>
      <c r="G5" s="7"/>
      <c r="H5" s="7" t="s">
        <v>118</v>
      </c>
      <c r="I5" s="7"/>
      <c r="J5" s="7"/>
      <c r="K5" s="7" t="s">
        <v>117</v>
      </c>
      <c r="L5" s="7"/>
      <c r="M5" s="7" t="s">
        <v>89</v>
      </c>
      <c r="N5" s="7"/>
      <c r="O5" s="8" t="s">
        <v>119</v>
      </c>
      <c r="P5" s="8" t="s">
        <v>120</v>
      </c>
    </row>
    <row r="6" spans="1:16" x14ac:dyDescent="0.35">
      <c r="A6" s="27" t="str">
        <f t="shared" si="0"/>
        <v>9C88</v>
      </c>
      <c r="B6" s="27">
        <f t="shared" si="1"/>
        <v>40072</v>
      </c>
      <c r="C6" s="7">
        <v>4</v>
      </c>
      <c r="D6" s="7"/>
      <c r="E6" s="7" t="s">
        <v>121</v>
      </c>
      <c r="F6" s="7"/>
      <c r="G6" s="7"/>
      <c r="H6" s="7" t="s">
        <v>118</v>
      </c>
      <c r="I6" s="7"/>
      <c r="J6" s="7"/>
      <c r="K6" s="7" t="s">
        <v>117</v>
      </c>
      <c r="L6" s="7"/>
      <c r="M6" s="7" t="s">
        <v>89</v>
      </c>
      <c r="N6" s="7"/>
      <c r="O6" s="8" t="s">
        <v>122</v>
      </c>
      <c r="P6" s="8" t="s">
        <v>123</v>
      </c>
    </row>
    <row r="7" spans="1:16" x14ac:dyDescent="0.35">
      <c r="A7" s="27" t="str">
        <f t="shared" si="0"/>
        <v>9C8A</v>
      </c>
      <c r="B7" s="27">
        <f t="shared" si="1"/>
        <v>40074</v>
      </c>
      <c r="C7" s="7">
        <v>6</v>
      </c>
      <c r="D7" s="7"/>
      <c r="E7" s="7" t="s">
        <v>124</v>
      </c>
      <c r="F7" s="7"/>
      <c r="G7" s="7"/>
      <c r="H7" s="7" t="s">
        <v>118</v>
      </c>
      <c r="I7" s="7"/>
      <c r="J7" s="7"/>
      <c r="K7" s="7" t="s">
        <v>117</v>
      </c>
      <c r="L7" s="7"/>
      <c r="M7" s="7" t="s">
        <v>89</v>
      </c>
      <c r="N7" s="7"/>
      <c r="O7" s="8" t="s">
        <v>126</v>
      </c>
      <c r="P7" s="8" t="s">
        <v>127</v>
      </c>
    </row>
    <row r="8" spans="1:16" x14ac:dyDescent="0.35">
      <c r="A8" s="27" t="str">
        <f t="shared" si="0"/>
        <v>9C8C</v>
      </c>
      <c r="B8" s="27">
        <f t="shared" si="1"/>
        <v>40076</v>
      </c>
      <c r="C8" s="7">
        <v>8</v>
      </c>
      <c r="D8" s="7"/>
      <c r="E8" s="7" t="s">
        <v>128</v>
      </c>
      <c r="F8" s="32" t="s">
        <v>125</v>
      </c>
      <c r="G8" s="7"/>
      <c r="H8" s="7" t="s">
        <v>118</v>
      </c>
      <c r="I8" s="7"/>
      <c r="J8" s="7"/>
      <c r="K8" s="7" t="s">
        <v>117</v>
      </c>
      <c r="L8" s="7"/>
      <c r="M8" s="7"/>
      <c r="N8" s="7"/>
      <c r="O8" s="8" t="s">
        <v>129</v>
      </c>
      <c r="P8" s="8" t="s">
        <v>130</v>
      </c>
    </row>
    <row r="9" spans="1:16" x14ac:dyDescent="0.35">
      <c r="A9" s="27" t="str">
        <f t="shared" si="0"/>
        <v>9C8E</v>
      </c>
      <c r="B9" s="27">
        <f t="shared" si="1"/>
        <v>40078</v>
      </c>
      <c r="C9" s="7">
        <v>10</v>
      </c>
      <c r="D9" s="7"/>
      <c r="E9" s="7" t="s">
        <v>131</v>
      </c>
      <c r="F9" s="7"/>
      <c r="G9" s="7"/>
      <c r="H9" s="7" t="s">
        <v>118</v>
      </c>
      <c r="I9" s="7"/>
      <c r="J9" s="7"/>
      <c r="K9" s="7" t="s">
        <v>132</v>
      </c>
      <c r="L9" s="7"/>
      <c r="M9" s="7" t="s">
        <v>89</v>
      </c>
      <c r="N9" s="7"/>
      <c r="O9" s="8" t="s">
        <v>133</v>
      </c>
      <c r="P9" s="8" t="s">
        <v>134</v>
      </c>
    </row>
    <row r="10" spans="1:16" x14ac:dyDescent="0.35">
      <c r="A10" s="27" t="str">
        <f t="shared" si="0"/>
        <v>9C90</v>
      </c>
      <c r="B10" s="27">
        <f t="shared" si="1"/>
        <v>40080</v>
      </c>
      <c r="C10" s="7">
        <v>12</v>
      </c>
      <c r="D10" s="7"/>
      <c r="E10" s="7" t="s">
        <v>135</v>
      </c>
      <c r="F10" s="7"/>
      <c r="G10" s="7"/>
      <c r="H10" s="7" t="s">
        <v>118</v>
      </c>
      <c r="I10" s="7"/>
      <c r="J10" s="7"/>
      <c r="K10" s="7" t="s">
        <v>132</v>
      </c>
      <c r="L10" s="7"/>
      <c r="M10" s="7" t="s">
        <v>89</v>
      </c>
      <c r="N10" s="7"/>
      <c r="O10" s="8" t="s">
        <v>136</v>
      </c>
      <c r="P10" s="8" t="s">
        <v>136</v>
      </c>
    </row>
    <row r="11" spans="1:16" x14ac:dyDescent="0.35">
      <c r="A11" s="27" t="str">
        <f t="shared" si="0"/>
        <v>9C92</v>
      </c>
      <c r="B11" s="27">
        <f t="shared" si="1"/>
        <v>40082</v>
      </c>
      <c r="C11" s="7">
        <v>14</v>
      </c>
      <c r="D11" s="7"/>
      <c r="E11" s="7" t="s">
        <v>137</v>
      </c>
      <c r="F11" s="7"/>
      <c r="G11" s="7"/>
      <c r="H11" s="7" t="s">
        <v>118</v>
      </c>
      <c r="I11" s="7"/>
      <c r="J11" s="7"/>
      <c r="K11" s="7" t="s">
        <v>132</v>
      </c>
      <c r="L11" s="7"/>
      <c r="M11" s="7" t="s">
        <v>89</v>
      </c>
      <c r="N11" s="7"/>
      <c r="O11" s="8" t="s">
        <v>138</v>
      </c>
      <c r="P11" s="8" t="s">
        <v>138</v>
      </c>
    </row>
    <row r="12" spans="1:16" x14ac:dyDescent="0.35">
      <c r="A12" s="27" t="str">
        <f t="shared" si="0"/>
        <v>9C94</v>
      </c>
      <c r="B12" s="27">
        <f t="shared" si="1"/>
        <v>40084</v>
      </c>
      <c r="C12" s="7">
        <v>16</v>
      </c>
      <c r="D12" s="7"/>
      <c r="E12" s="7" t="s">
        <v>139</v>
      </c>
      <c r="F12" s="32" t="s">
        <v>125</v>
      </c>
      <c r="G12" s="7"/>
      <c r="H12" s="7" t="s">
        <v>118</v>
      </c>
      <c r="I12" s="7"/>
      <c r="J12" s="7"/>
      <c r="K12" s="7" t="s">
        <v>132</v>
      </c>
      <c r="L12" s="7"/>
      <c r="M12" s="7"/>
      <c r="N12" s="7"/>
      <c r="O12" s="8" t="s">
        <v>140</v>
      </c>
      <c r="P12" s="8" t="s">
        <v>140</v>
      </c>
    </row>
    <row r="13" spans="1:16" x14ac:dyDescent="0.35">
      <c r="A13" s="27" t="str">
        <f t="shared" si="0"/>
        <v>9C96</v>
      </c>
      <c r="B13" s="27">
        <f t="shared" si="1"/>
        <v>40086</v>
      </c>
      <c r="C13" s="7">
        <v>18</v>
      </c>
      <c r="D13" s="7"/>
      <c r="E13" s="7" t="s">
        <v>141</v>
      </c>
      <c r="F13" s="7"/>
      <c r="G13" s="7"/>
      <c r="H13" s="7" t="s">
        <v>118</v>
      </c>
      <c r="I13" s="7"/>
      <c r="J13" s="7"/>
      <c r="K13" s="7" t="s">
        <v>132</v>
      </c>
      <c r="L13" s="7"/>
      <c r="M13" s="7" t="s">
        <v>89</v>
      </c>
      <c r="N13" s="7"/>
      <c r="O13" s="8" t="s">
        <v>142</v>
      </c>
      <c r="P13" s="8" t="s">
        <v>143</v>
      </c>
    </row>
    <row r="14" spans="1:16" x14ac:dyDescent="0.35">
      <c r="A14" s="27" t="str">
        <f t="shared" si="0"/>
        <v>9C98</v>
      </c>
      <c r="B14" s="27">
        <f t="shared" si="1"/>
        <v>40088</v>
      </c>
      <c r="C14" s="7">
        <v>20</v>
      </c>
      <c r="D14" s="7"/>
      <c r="E14" s="7" t="s">
        <v>144</v>
      </c>
      <c r="F14" s="7"/>
      <c r="G14" s="7"/>
      <c r="H14" s="7" t="s">
        <v>118</v>
      </c>
      <c r="I14" s="7"/>
      <c r="J14" s="7"/>
      <c r="K14" s="7" t="s">
        <v>132</v>
      </c>
      <c r="L14" s="7"/>
      <c r="M14" s="7" t="s">
        <v>89</v>
      </c>
      <c r="N14" s="7"/>
      <c r="O14" s="8" t="s">
        <v>145</v>
      </c>
      <c r="P14" s="8" t="s">
        <v>145</v>
      </c>
    </row>
    <row r="15" spans="1:16" x14ac:dyDescent="0.35">
      <c r="A15" s="27" t="str">
        <f t="shared" si="0"/>
        <v>9C9A</v>
      </c>
      <c r="B15" s="27">
        <f t="shared" si="1"/>
        <v>40090</v>
      </c>
      <c r="C15" s="7">
        <v>22</v>
      </c>
      <c r="D15" s="7"/>
      <c r="E15" s="7" t="s">
        <v>146</v>
      </c>
      <c r="F15" s="32" t="s">
        <v>125</v>
      </c>
      <c r="G15" s="7"/>
      <c r="H15" s="7" t="s">
        <v>118</v>
      </c>
      <c r="I15" s="7"/>
      <c r="J15" s="7"/>
      <c r="K15" s="7" t="s">
        <v>132</v>
      </c>
      <c r="L15" s="7"/>
      <c r="M15" s="7"/>
      <c r="N15" s="7"/>
      <c r="O15" s="8" t="s">
        <v>147</v>
      </c>
      <c r="P15" s="8" t="s">
        <v>147</v>
      </c>
    </row>
    <row r="16" spans="1:16" x14ac:dyDescent="0.35">
      <c r="A16" s="27" t="str">
        <f t="shared" si="0"/>
        <v>9C9C</v>
      </c>
      <c r="B16" s="27">
        <f t="shared" si="1"/>
        <v>40092</v>
      </c>
      <c r="C16" s="7">
        <v>24</v>
      </c>
      <c r="D16" s="7"/>
      <c r="E16" s="7" t="s">
        <v>148</v>
      </c>
      <c r="F16" s="32" t="s">
        <v>125</v>
      </c>
      <c r="G16" s="7"/>
      <c r="H16" s="7" t="s">
        <v>118</v>
      </c>
      <c r="I16" s="7"/>
      <c r="J16" s="7"/>
      <c r="K16" s="7" t="s">
        <v>132</v>
      </c>
      <c r="L16" s="7"/>
      <c r="M16" s="7"/>
      <c r="N16" s="7"/>
      <c r="O16" s="8" t="s">
        <v>149</v>
      </c>
      <c r="P16" s="8" t="s">
        <v>149</v>
      </c>
    </row>
    <row r="17" spans="1:16" x14ac:dyDescent="0.35">
      <c r="A17" s="27" t="str">
        <f t="shared" si="0"/>
        <v>9C9E</v>
      </c>
      <c r="B17" s="27">
        <f t="shared" si="1"/>
        <v>40094</v>
      </c>
      <c r="C17" s="7">
        <v>26</v>
      </c>
      <c r="D17" s="7"/>
      <c r="E17" s="7" t="s">
        <v>150</v>
      </c>
      <c r="F17" s="7"/>
      <c r="G17" s="7"/>
      <c r="H17" s="7" t="s">
        <v>118</v>
      </c>
      <c r="I17" s="7"/>
      <c r="J17" s="7"/>
      <c r="K17" s="7" t="s">
        <v>150</v>
      </c>
      <c r="L17" s="7"/>
      <c r="M17" s="7" t="s">
        <v>89</v>
      </c>
      <c r="N17" s="7"/>
      <c r="O17" s="8" t="s">
        <v>150</v>
      </c>
      <c r="P17" s="8" t="s">
        <v>151</v>
      </c>
    </row>
    <row r="18" spans="1:16" x14ac:dyDescent="0.35">
      <c r="A18" s="27" t="str">
        <f t="shared" si="0"/>
        <v>9CA0</v>
      </c>
      <c r="B18" s="27">
        <f t="shared" si="1"/>
        <v>40096</v>
      </c>
      <c r="C18" s="7">
        <v>28</v>
      </c>
      <c r="D18" s="7"/>
      <c r="E18" s="7" t="s">
        <v>152</v>
      </c>
      <c r="F18" s="7"/>
      <c r="G18" s="7"/>
      <c r="H18" s="7" t="s">
        <v>118</v>
      </c>
      <c r="I18" s="7"/>
      <c r="J18" s="7"/>
      <c r="K18" s="7" t="s">
        <v>152</v>
      </c>
      <c r="L18" s="7"/>
      <c r="M18" s="7" t="s">
        <v>89</v>
      </c>
      <c r="N18" s="7"/>
      <c r="O18" s="8" t="s">
        <v>153</v>
      </c>
      <c r="P18" s="8" t="s">
        <v>154</v>
      </c>
    </row>
    <row r="19" spans="1:16" x14ac:dyDescent="0.35">
      <c r="A19" s="27" t="str">
        <f t="shared" si="0"/>
        <v>9CA2</v>
      </c>
      <c r="B19" s="27">
        <f t="shared" si="1"/>
        <v>40098</v>
      </c>
      <c r="C19" s="7">
        <v>30</v>
      </c>
      <c r="D19" s="7"/>
      <c r="E19" s="7" t="s">
        <v>155</v>
      </c>
      <c r="F19" s="7"/>
      <c r="G19" s="7"/>
      <c r="H19" s="7" t="s">
        <v>118</v>
      </c>
      <c r="I19" s="7"/>
      <c r="J19" s="7"/>
      <c r="K19" s="7" t="s">
        <v>152</v>
      </c>
      <c r="L19" s="7"/>
      <c r="M19" s="7"/>
      <c r="N19" s="7"/>
      <c r="O19" s="8" t="s">
        <v>156</v>
      </c>
      <c r="P19" s="8"/>
    </row>
    <row r="20" spans="1:16" x14ac:dyDescent="0.35">
      <c r="A20" s="27" t="str">
        <f t="shared" si="0"/>
        <v>9CA4</v>
      </c>
      <c r="B20" s="27">
        <f t="shared" si="1"/>
        <v>40100</v>
      </c>
      <c r="C20" s="7">
        <v>32</v>
      </c>
      <c r="D20" s="7"/>
      <c r="E20" s="7" t="s">
        <v>157</v>
      </c>
      <c r="F20" s="7"/>
      <c r="G20" s="7"/>
      <c r="H20" s="7" t="s">
        <v>118</v>
      </c>
      <c r="I20" s="7"/>
      <c r="J20" s="7"/>
      <c r="K20" s="7" t="s">
        <v>152</v>
      </c>
      <c r="L20" s="7"/>
      <c r="M20" s="7"/>
      <c r="N20" s="7"/>
      <c r="O20" s="8" t="s">
        <v>158</v>
      </c>
      <c r="P20" s="8"/>
    </row>
    <row r="21" spans="1:16" x14ac:dyDescent="0.35">
      <c r="A21" s="27" t="str">
        <f t="shared" si="0"/>
        <v>9CA6</v>
      </c>
      <c r="B21" s="27">
        <f t="shared" si="1"/>
        <v>40102</v>
      </c>
      <c r="C21" s="7">
        <v>34</v>
      </c>
      <c r="D21" s="7"/>
      <c r="E21" s="7" t="s">
        <v>159</v>
      </c>
      <c r="F21" s="32" t="s">
        <v>125</v>
      </c>
      <c r="G21" s="7"/>
      <c r="H21" s="7" t="s">
        <v>118</v>
      </c>
      <c r="I21" s="7"/>
      <c r="J21" s="7"/>
      <c r="K21" s="7" t="s">
        <v>152</v>
      </c>
      <c r="L21" s="7"/>
      <c r="M21" s="7"/>
      <c r="N21" s="7"/>
      <c r="O21" s="8" t="s">
        <v>160</v>
      </c>
      <c r="P21" s="8"/>
    </row>
    <row r="22" spans="1:16" x14ac:dyDescent="0.35">
      <c r="A22" s="27" t="str">
        <f t="shared" si="0"/>
        <v>9CA8</v>
      </c>
      <c r="B22" s="27">
        <f t="shared" si="1"/>
        <v>40104</v>
      </c>
      <c r="C22" s="7">
        <v>36</v>
      </c>
      <c r="D22" s="7"/>
      <c r="E22" s="7" t="s">
        <v>161</v>
      </c>
      <c r="F22" s="7"/>
      <c r="G22" s="7"/>
      <c r="H22" s="7" t="s">
        <v>118</v>
      </c>
      <c r="I22" s="7"/>
      <c r="J22" s="7"/>
      <c r="K22" s="7" t="s">
        <v>161</v>
      </c>
      <c r="L22" s="7"/>
      <c r="M22" s="7"/>
      <c r="N22" s="7"/>
      <c r="O22" s="8" t="s">
        <v>161</v>
      </c>
      <c r="P22" s="8" t="s">
        <v>162</v>
      </c>
    </row>
    <row r="23" spans="1:16" x14ac:dyDescent="0.35">
      <c r="A23" s="27" t="str">
        <f t="shared" si="0"/>
        <v>9CAA</v>
      </c>
      <c r="B23" s="27">
        <f t="shared" si="1"/>
        <v>40106</v>
      </c>
      <c r="C23" s="7">
        <v>38</v>
      </c>
      <c r="D23" s="7"/>
      <c r="E23" s="7" t="s">
        <v>163</v>
      </c>
      <c r="F23" s="7"/>
      <c r="G23" s="7"/>
      <c r="H23" s="7" t="s">
        <v>118</v>
      </c>
      <c r="I23" s="7"/>
      <c r="J23" s="7"/>
      <c r="K23" s="7" t="s">
        <v>161</v>
      </c>
      <c r="L23" s="7"/>
      <c r="M23" s="7"/>
      <c r="N23" s="7"/>
      <c r="O23" s="8" t="s">
        <v>164</v>
      </c>
      <c r="P23" s="8"/>
    </row>
    <row r="24" spans="1:16" x14ac:dyDescent="0.35">
      <c r="A24" s="27" t="str">
        <f t="shared" si="0"/>
        <v>9CAC</v>
      </c>
      <c r="B24" s="27">
        <f t="shared" si="1"/>
        <v>40108</v>
      </c>
      <c r="C24" s="7">
        <v>40</v>
      </c>
      <c r="D24" s="7"/>
      <c r="E24" s="7" t="s">
        <v>165</v>
      </c>
      <c r="F24" s="7"/>
      <c r="G24" s="7"/>
      <c r="H24" s="7" t="s">
        <v>118</v>
      </c>
      <c r="I24" s="7"/>
      <c r="J24" s="7"/>
      <c r="K24" s="7" t="s">
        <v>161</v>
      </c>
      <c r="L24" s="7"/>
      <c r="M24" s="7"/>
      <c r="N24" s="7"/>
      <c r="O24" s="8" t="s">
        <v>166</v>
      </c>
      <c r="P24" s="8"/>
    </row>
    <row r="25" spans="1:16" x14ac:dyDescent="0.35">
      <c r="A25" s="27" t="str">
        <f t="shared" si="0"/>
        <v>9CAE</v>
      </c>
      <c r="B25" s="27">
        <f t="shared" si="1"/>
        <v>40110</v>
      </c>
      <c r="C25" s="7">
        <v>42</v>
      </c>
      <c r="D25" s="7"/>
      <c r="E25" s="7" t="s">
        <v>167</v>
      </c>
      <c r="F25" s="32" t="s">
        <v>125</v>
      </c>
      <c r="G25" s="7"/>
      <c r="H25" s="7" t="s">
        <v>118</v>
      </c>
      <c r="I25" s="7"/>
      <c r="J25" s="7"/>
      <c r="K25" s="7" t="s">
        <v>161</v>
      </c>
      <c r="L25" s="7"/>
      <c r="M25" s="7"/>
      <c r="N25" s="7"/>
      <c r="O25" s="8" t="s">
        <v>168</v>
      </c>
      <c r="P25" s="8"/>
    </row>
    <row r="26" spans="1:16" x14ac:dyDescent="0.35">
      <c r="A26" s="27" t="str">
        <f t="shared" si="0"/>
        <v>9CB0</v>
      </c>
      <c r="B26" s="27">
        <f t="shared" si="1"/>
        <v>40112</v>
      </c>
      <c r="C26" s="7">
        <v>44</v>
      </c>
      <c r="D26" s="7"/>
      <c r="E26" s="7" t="s">
        <v>169</v>
      </c>
      <c r="F26" s="7"/>
      <c r="G26" s="7"/>
      <c r="H26" s="7" t="s">
        <v>118</v>
      </c>
      <c r="I26" s="7"/>
      <c r="J26" s="7"/>
      <c r="K26" s="7" t="s">
        <v>170</v>
      </c>
      <c r="L26" s="7"/>
      <c r="M26" s="7"/>
      <c r="N26" s="7"/>
      <c r="O26" s="8" t="s">
        <v>169</v>
      </c>
      <c r="P26" s="8" t="s">
        <v>171</v>
      </c>
    </row>
    <row r="27" spans="1:16" x14ac:dyDescent="0.35">
      <c r="A27" s="27" t="str">
        <f t="shared" si="0"/>
        <v>9CB2</v>
      </c>
      <c r="B27" s="27">
        <f t="shared" si="1"/>
        <v>40114</v>
      </c>
      <c r="C27" s="7">
        <v>46</v>
      </c>
      <c r="D27" s="7"/>
      <c r="E27" s="7" t="s">
        <v>172</v>
      </c>
      <c r="F27" s="7"/>
      <c r="G27" s="7"/>
      <c r="H27" s="7" t="s">
        <v>118</v>
      </c>
      <c r="I27" s="7"/>
      <c r="J27" s="7"/>
      <c r="K27" s="7" t="s">
        <v>170</v>
      </c>
      <c r="L27" s="7"/>
      <c r="M27" s="7"/>
      <c r="N27" s="7"/>
      <c r="O27" s="8" t="s">
        <v>173</v>
      </c>
      <c r="P27" s="8"/>
    </row>
    <row r="28" spans="1:16" x14ac:dyDescent="0.35">
      <c r="A28" s="27" t="str">
        <f t="shared" si="0"/>
        <v>9CB4</v>
      </c>
      <c r="B28" s="27">
        <f t="shared" si="1"/>
        <v>40116</v>
      </c>
      <c r="C28" s="7">
        <v>48</v>
      </c>
      <c r="D28" s="7"/>
      <c r="E28" s="7" t="s">
        <v>174</v>
      </c>
      <c r="F28" s="7"/>
      <c r="G28" s="7"/>
      <c r="H28" s="7" t="s">
        <v>118</v>
      </c>
      <c r="I28" s="7"/>
      <c r="J28" s="7"/>
      <c r="K28" s="7" t="s">
        <v>170</v>
      </c>
      <c r="L28" s="7"/>
      <c r="M28" s="7"/>
      <c r="N28" s="7"/>
      <c r="O28" s="8" t="s">
        <v>175</v>
      </c>
      <c r="P28" s="8"/>
    </row>
    <row r="29" spans="1:16" x14ac:dyDescent="0.35">
      <c r="A29" s="27" t="str">
        <f t="shared" si="0"/>
        <v>9CB6</v>
      </c>
      <c r="B29" s="27">
        <f t="shared" si="1"/>
        <v>40118</v>
      </c>
      <c r="C29" s="7">
        <v>50</v>
      </c>
      <c r="D29" s="7"/>
      <c r="E29" s="7" t="s">
        <v>176</v>
      </c>
      <c r="F29" s="32" t="s">
        <v>125</v>
      </c>
      <c r="G29" s="7"/>
      <c r="H29" s="7" t="s">
        <v>118</v>
      </c>
      <c r="I29" s="7"/>
      <c r="J29" s="7"/>
      <c r="K29" s="7" t="s">
        <v>170</v>
      </c>
      <c r="L29" s="7"/>
      <c r="M29" s="7"/>
      <c r="N29" s="7"/>
      <c r="O29" s="8" t="s">
        <v>177</v>
      </c>
      <c r="P29" s="8"/>
    </row>
    <row r="30" spans="1:16" x14ac:dyDescent="0.35">
      <c r="A30" s="27" t="str">
        <f t="shared" si="0"/>
        <v>9CB8</v>
      </c>
      <c r="B30" s="27">
        <f t="shared" si="1"/>
        <v>40120</v>
      </c>
      <c r="C30" s="7">
        <v>52</v>
      </c>
      <c r="D30" s="7"/>
      <c r="E30" s="7" t="s">
        <v>178</v>
      </c>
      <c r="F30" s="7"/>
      <c r="G30" s="7"/>
      <c r="H30" s="7" t="s">
        <v>118</v>
      </c>
      <c r="I30" s="7"/>
      <c r="J30" s="7"/>
      <c r="K30" s="7" t="s">
        <v>178</v>
      </c>
      <c r="L30" s="7"/>
      <c r="M30" s="7"/>
      <c r="N30" s="7"/>
      <c r="O30" s="8" t="s">
        <v>178</v>
      </c>
      <c r="P30" s="8" t="s">
        <v>179</v>
      </c>
    </row>
    <row r="31" spans="1:16" x14ac:dyDescent="0.35">
      <c r="A31" s="27" t="str">
        <f t="shared" si="0"/>
        <v>9CBA</v>
      </c>
      <c r="B31" s="27">
        <f t="shared" si="1"/>
        <v>40122</v>
      </c>
      <c r="C31" s="7">
        <v>54</v>
      </c>
      <c r="D31" s="7"/>
      <c r="E31" s="7" t="s">
        <v>180</v>
      </c>
      <c r="F31" s="7"/>
      <c r="G31" s="7"/>
      <c r="H31" s="7" t="s">
        <v>118</v>
      </c>
      <c r="I31" s="7"/>
      <c r="J31" s="7"/>
      <c r="K31" s="7" t="s">
        <v>178</v>
      </c>
      <c r="L31" s="7"/>
      <c r="M31" s="7"/>
      <c r="N31" s="7"/>
      <c r="O31" s="8" t="s">
        <v>181</v>
      </c>
      <c r="P31" s="8"/>
    </row>
    <row r="32" spans="1:16" x14ac:dyDescent="0.35">
      <c r="A32" s="27" t="str">
        <f t="shared" si="0"/>
        <v>9CBC</v>
      </c>
      <c r="B32" s="27">
        <f t="shared" si="1"/>
        <v>40124</v>
      </c>
      <c r="C32" s="7">
        <v>56</v>
      </c>
      <c r="D32" s="7"/>
      <c r="E32" s="7" t="s">
        <v>182</v>
      </c>
      <c r="F32" s="7"/>
      <c r="G32" s="7"/>
      <c r="H32" s="7" t="s">
        <v>118</v>
      </c>
      <c r="I32" s="7"/>
      <c r="J32" s="7"/>
      <c r="K32" s="7" t="s">
        <v>178</v>
      </c>
      <c r="L32" s="7"/>
      <c r="M32" s="7"/>
      <c r="N32" s="7"/>
      <c r="O32" s="8" t="s">
        <v>183</v>
      </c>
      <c r="P32" s="8"/>
    </row>
    <row r="33" spans="1:16" x14ac:dyDescent="0.35">
      <c r="A33" s="27" t="str">
        <f t="shared" si="0"/>
        <v>9CBE</v>
      </c>
      <c r="B33" s="27">
        <f t="shared" si="1"/>
        <v>40126</v>
      </c>
      <c r="C33" s="7">
        <v>58</v>
      </c>
      <c r="D33" s="7"/>
      <c r="E33" s="7" t="s">
        <v>184</v>
      </c>
      <c r="F33" s="32" t="s">
        <v>125</v>
      </c>
      <c r="G33" s="7"/>
      <c r="H33" s="7" t="s">
        <v>118</v>
      </c>
      <c r="I33" s="7"/>
      <c r="J33" s="7"/>
      <c r="K33" s="7" t="s">
        <v>178</v>
      </c>
      <c r="L33" s="7"/>
      <c r="M33" s="7"/>
      <c r="N33" s="7"/>
      <c r="O33" s="8" t="s">
        <v>185</v>
      </c>
      <c r="P33" s="8"/>
    </row>
    <row r="34" spans="1:16" x14ac:dyDescent="0.35">
      <c r="A34" s="27" t="str">
        <f t="shared" si="0"/>
        <v>9CC0</v>
      </c>
      <c r="B34" s="27">
        <f t="shared" si="1"/>
        <v>40128</v>
      </c>
      <c r="C34" s="7">
        <v>60</v>
      </c>
      <c r="D34" s="7"/>
      <c r="E34" s="7" t="s">
        <v>186</v>
      </c>
      <c r="F34" s="7"/>
      <c r="G34" s="7"/>
      <c r="H34" s="7" t="s">
        <v>118</v>
      </c>
      <c r="I34" s="7"/>
      <c r="J34" s="7"/>
      <c r="K34" s="7" t="s">
        <v>187</v>
      </c>
      <c r="L34" s="7"/>
      <c r="M34" s="7" t="s">
        <v>89</v>
      </c>
      <c r="N34" s="7"/>
      <c r="O34" s="8" t="s">
        <v>188</v>
      </c>
      <c r="P34" s="8" t="s">
        <v>189</v>
      </c>
    </row>
    <row r="35" spans="1:16" ht="29" x14ac:dyDescent="0.35">
      <c r="A35" s="27" t="str">
        <f t="shared" si="0"/>
        <v>9CC2</v>
      </c>
      <c r="B35" s="27">
        <f t="shared" si="1"/>
        <v>40130</v>
      </c>
      <c r="C35" s="7">
        <v>62</v>
      </c>
      <c r="D35" s="7"/>
      <c r="E35" s="7" t="s">
        <v>190</v>
      </c>
      <c r="F35" s="7"/>
      <c r="G35" s="7"/>
      <c r="H35" s="7" t="s">
        <v>118</v>
      </c>
      <c r="I35" s="7"/>
      <c r="J35" s="7"/>
      <c r="K35" s="7" t="s">
        <v>187</v>
      </c>
      <c r="L35" s="7"/>
      <c r="M35" s="7"/>
      <c r="N35" s="7"/>
      <c r="O35" s="8" t="s">
        <v>191</v>
      </c>
      <c r="P35" s="8"/>
    </row>
    <row r="36" spans="1:16" ht="29" x14ac:dyDescent="0.35">
      <c r="A36" s="27" t="str">
        <f t="shared" si="0"/>
        <v>9CC4</v>
      </c>
      <c r="B36" s="27">
        <f t="shared" si="1"/>
        <v>40132</v>
      </c>
      <c r="C36" s="7">
        <v>64</v>
      </c>
      <c r="D36" s="7"/>
      <c r="E36" s="7" t="s">
        <v>192</v>
      </c>
      <c r="F36" s="7"/>
      <c r="G36" s="7"/>
      <c r="H36" s="7" t="s">
        <v>118</v>
      </c>
      <c r="I36" s="7"/>
      <c r="J36" s="7"/>
      <c r="K36" s="7" t="s">
        <v>187</v>
      </c>
      <c r="L36" s="7"/>
      <c r="M36" s="7"/>
      <c r="N36" s="7"/>
      <c r="O36" s="8" t="s">
        <v>193</v>
      </c>
      <c r="P36" s="8"/>
    </row>
    <row r="37" spans="1:16" ht="29" x14ac:dyDescent="0.35">
      <c r="A37" s="27" t="str">
        <f t="shared" si="0"/>
        <v>9CC6</v>
      </c>
      <c r="B37" s="27">
        <f t="shared" si="1"/>
        <v>40134</v>
      </c>
      <c r="C37" s="7">
        <v>66</v>
      </c>
      <c r="D37" s="7"/>
      <c r="E37" s="7" t="s">
        <v>194</v>
      </c>
      <c r="F37" s="32" t="s">
        <v>125</v>
      </c>
      <c r="G37" s="7"/>
      <c r="H37" s="7" t="s">
        <v>118</v>
      </c>
      <c r="I37" s="7"/>
      <c r="J37" s="7"/>
      <c r="K37" s="7" t="s">
        <v>187</v>
      </c>
      <c r="L37" s="7"/>
      <c r="M37" s="7"/>
      <c r="N37" s="7"/>
      <c r="O37" s="8" t="s">
        <v>195</v>
      </c>
      <c r="P37" s="8"/>
    </row>
    <row r="38" spans="1:16" x14ac:dyDescent="0.35">
      <c r="A38" s="27" t="str">
        <f t="shared" si="0"/>
        <v>9CC8</v>
      </c>
      <c r="B38" s="27">
        <f t="shared" si="1"/>
        <v>40136</v>
      </c>
      <c r="C38" s="7">
        <v>68</v>
      </c>
      <c r="D38" s="7"/>
      <c r="E38" s="7" t="s">
        <v>196</v>
      </c>
      <c r="F38" s="7"/>
      <c r="G38" s="7"/>
      <c r="H38" s="7" t="s">
        <v>118</v>
      </c>
      <c r="I38" s="7"/>
      <c r="J38" s="7"/>
      <c r="K38" s="7" t="s">
        <v>187</v>
      </c>
      <c r="L38" s="7"/>
      <c r="M38" s="7" t="s">
        <v>89</v>
      </c>
      <c r="N38" s="7"/>
      <c r="O38" s="8" t="s">
        <v>197</v>
      </c>
      <c r="P38" s="8" t="s">
        <v>198</v>
      </c>
    </row>
    <row r="39" spans="1:16" ht="29" x14ac:dyDescent="0.35">
      <c r="A39" s="27" t="str">
        <f t="shared" si="0"/>
        <v>9CCA</v>
      </c>
      <c r="B39" s="27">
        <f t="shared" si="1"/>
        <v>40138</v>
      </c>
      <c r="C39" s="7">
        <v>70</v>
      </c>
      <c r="D39" s="7"/>
      <c r="E39" s="7" t="s">
        <v>199</v>
      </c>
      <c r="F39" s="7"/>
      <c r="G39" s="7"/>
      <c r="H39" s="7" t="s">
        <v>118</v>
      </c>
      <c r="I39" s="7"/>
      <c r="J39" s="7"/>
      <c r="K39" s="7" t="s">
        <v>187</v>
      </c>
      <c r="L39" s="7"/>
      <c r="M39" s="7"/>
      <c r="N39" s="7"/>
      <c r="O39" s="8" t="s">
        <v>200</v>
      </c>
      <c r="P39" s="8"/>
    </row>
    <row r="40" spans="1:16" ht="29" x14ac:dyDescent="0.35">
      <c r="A40" s="27" t="str">
        <f t="shared" si="0"/>
        <v>9CCC</v>
      </c>
      <c r="B40" s="27">
        <f t="shared" si="1"/>
        <v>40140</v>
      </c>
      <c r="C40" s="7">
        <v>72</v>
      </c>
      <c r="D40" s="7"/>
      <c r="E40" s="7" t="s">
        <v>201</v>
      </c>
      <c r="F40" s="7"/>
      <c r="G40" s="7"/>
      <c r="H40" s="7" t="s">
        <v>118</v>
      </c>
      <c r="I40" s="7"/>
      <c r="J40" s="7"/>
      <c r="K40" s="7" t="s">
        <v>187</v>
      </c>
      <c r="L40" s="7"/>
      <c r="M40" s="7"/>
      <c r="N40" s="7"/>
      <c r="O40" s="8" t="s">
        <v>202</v>
      </c>
      <c r="P40" s="8"/>
    </row>
    <row r="41" spans="1:16" ht="29" x14ac:dyDescent="0.35">
      <c r="A41" s="27" t="str">
        <f t="shared" si="0"/>
        <v>9CCE</v>
      </c>
      <c r="B41" s="27">
        <f t="shared" si="1"/>
        <v>40142</v>
      </c>
      <c r="C41" s="7">
        <v>74</v>
      </c>
      <c r="D41" s="7"/>
      <c r="E41" s="7" t="s">
        <v>203</v>
      </c>
      <c r="F41" s="32" t="s">
        <v>125</v>
      </c>
      <c r="G41" s="7"/>
      <c r="H41" s="7" t="s">
        <v>118</v>
      </c>
      <c r="I41" s="7"/>
      <c r="J41" s="7"/>
      <c r="K41" s="7" t="s">
        <v>187</v>
      </c>
      <c r="L41" s="7"/>
      <c r="M41" s="7"/>
      <c r="N41" s="7"/>
      <c r="O41" s="8" t="s">
        <v>204</v>
      </c>
      <c r="P41" s="8"/>
    </row>
    <row r="42" spans="1:16" x14ac:dyDescent="0.35">
      <c r="A42" s="28" t="str">
        <f t="shared" si="0"/>
        <v>9CD0</v>
      </c>
      <c r="B42" s="28">
        <f t="shared" si="1"/>
        <v>40144</v>
      </c>
      <c r="C42" s="7">
        <v>76</v>
      </c>
      <c r="D42" s="7"/>
      <c r="E42" s="7" t="s">
        <v>205</v>
      </c>
      <c r="F42" s="36" t="s">
        <v>125</v>
      </c>
      <c r="G42" s="7"/>
      <c r="H42" s="7" t="s">
        <v>118</v>
      </c>
      <c r="I42" s="7"/>
      <c r="J42" s="7"/>
      <c r="K42" s="7" t="s">
        <v>206</v>
      </c>
      <c r="L42" s="7"/>
      <c r="M42" s="7"/>
      <c r="N42" s="7"/>
      <c r="O42" s="8" t="s">
        <v>207</v>
      </c>
      <c r="P42" s="8" t="s">
        <v>208</v>
      </c>
    </row>
    <row r="43" spans="1:16" x14ac:dyDescent="0.35">
      <c r="A43" s="27" t="str">
        <f t="shared" si="0"/>
        <v>9CD2</v>
      </c>
      <c r="B43" s="27">
        <f t="shared" si="1"/>
        <v>40146</v>
      </c>
      <c r="C43" s="7">
        <v>78</v>
      </c>
      <c r="D43" s="7"/>
      <c r="E43" s="7" t="s">
        <v>209</v>
      </c>
      <c r="F43" s="36" t="s">
        <v>125</v>
      </c>
      <c r="G43" s="7"/>
      <c r="H43" s="7" t="s">
        <v>118</v>
      </c>
      <c r="I43" s="7"/>
      <c r="J43" s="7"/>
      <c r="K43" s="7" t="s">
        <v>206</v>
      </c>
      <c r="L43" s="7"/>
      <c r="M43" s="7"/>
      <c r="N43" s="7"/>
      <c r="O43" s="8" t="s">
        <v>210</v>
      </c>
      <c r="P43" s="8"/>
    </row>
    <row r="44" spans="1:16" x14ac:dyDescent="0.35">
      <c r="A44" s="27" t="str">
        <f t="shared" si="0"/>
        <v>9CD4</v>
      </c>
      <c r="B44" s="27">
        <f t="shared" si="1"/>
        <v>40148</v>
      </c>
      <c r="C44" s="7">
        <v>80</v>
      </c>
      <c r="D44" s="7"/>
      <c r="E44" s="7" t="s">
        <v>211</v>
      </c>
      <c r="F44" s="36" t="s">
        <v>125</v>
      </c>
      <c r="G44" s="7"/>
      <c r="H44" s="7" t="s">
        <v>118</v>
      </c>
      <c r="I44" s="7"/>
      <c r="J44" s="7"/>
      <c r="K44" s="7" t="s">
        <v>206</v>
      </c>
      <c r="L44" s="7"/>
      <c r="M44" s="7"/>
      <c r="N44" s="7"/>
      <c r="O44" s="8" t="s">
        <v>212</v>
      </c>
      <c r="P44" s="8"/>
    </row>
    <row r="45" spans="1:16" x14ac:dyDescent="0.35">
      <c r="A45" s="27" t="str">
        <f t="shared" si="0"/>
        <v>9CD6</v>
      </c>
      <c r="B45" s="27">
        <f t="shared" si="1"/>
        <v>40150</v>
      </c>
      <c r="C45" s="7">
        <v>82</v>
      </c>
      <c r="D45" s="7"/>
      <c r="E45" s="7" t="s">
        <v>213</v>
      </c>
      <c r="F45" s="36" t="s">
        <v>125</v>
      </c>
      <c r="G45" s="7"/>
      <c r="H45" s="7" t="s">
        <v>118</v>
      </c>
      <c r="I45" s="7"/>
      <c r="J45" s="7"/>
      <c r="K45" s="7" t="s">
        <v>206</v>
      </c>
      <c r="L45" s="7"/>
      <c r="M45" s="7"/>
      <c r="N45" s="7"/>
      <c r="O45" s="8" t="s">
        <v>214</v>
      </c>
      <c r="P45" s="8"/>
    </row>
    <row r="46" spans="1:16" x14ac:dyDescent="0.35">
      <c r="A46" s="27" t="str">
        <f t="shared" si="0"/>
        <v>9CD8</v>
      </c>
      <c r="B46" s="27">
        <f t="shared" si="1"/>
        <v>40152</v>
      </c>
      <c r="C46" s="7">
        <v>84</v>
      </c>
      <c r="D46" s="7"/>
      <c r="E46" s="7" t="s">
        <v>215</v>
      </c>
      <c r="F46" s="36" t="s">
        <v>125</v>
      </c>
      <c r="G46" s="7"/>
      <c r="H46" s="7" t="s">
        <v>118</v>
      </c>
      <c r="I46" s="7"/>
      <c r="J46" s="7"/>
      <c r="K46" s="7" t="s">
        <v>206</v>
      </c>
      <c r="L46" s="7"/>
      <c r="M46" s="7"/>
      <c r="N46" s="7"/>
      <c r="O46" s="8" t="s">
        <v>216</v>
      </c>
      <c r="P46" s="8" t="s">
        <v>217</v>
      </c>
    </row>
    <row r="47" spans="1:16" x14ac:dyDescent="0.35">
      <c r="A47" s="27" t="str">
        <f t="shared" si="0"/>
        <v>9CDA</v>
      </c>
      <c r="B47" s="27">
        <f t="shared" si="1"/>
        <v>40154</v>
      </c>
      <c r="C47" s="7">
        <v>86</v>
      </c>
      <c r="D47" s="7"/>
      <c r="E47" s="7" t="s">
        <v>218</v>
      </c>
      <c r="F47" s="36" t="s">
        <v>125</v>
      </c>
      <c r="G47" s="7"/>
      <c r="H47" s="7" t="s">
        <v>118</v>
      </c>
      <c r="I47" s="7"/>
      <c r="J47" s="7"/>
      <c r="K47" s="7" t="s">
        <v>206</v>
      </c>
      <c r="L47" s="7"/>
      <c r="M47" s="7"/>
      <c r="N47" s="7"/>
      <c r="O47" s="8" t="s">
        <v>219</v>
      </c>
      <c r="P47" s="8"/>
    </row>
    <row r="48" spans="1:16" x14ac:dyDescent="0.35">
      <c r="A48" s="27" t="str">
        <f t="shared" si="0"/>
        <v>9CDC</v>
      </c>
      <c r="B48" s="27">
        <f t="shared" si="1"/>
        <v>40156</v>
      </c>
      <c r="C48" s="7">
        <v>88</v>
      </c>
      <c r="D48" s="7"/>
      <c r="E48" s="7" t="s">
        <v>220</v>
      </c>
      <c r="F48" s="36" t="s">
        <v>125</v>
      </c>
      <c r="G48" s="7"/>
      <c r="H48" s="7" t="s">
        <v>118</v>
      </c>
      <c r="I48" s="7"/>
      <c r="J48" s="7"/>
      <c r="K48" s="7" t="s">
        <v>206</v>
      </c>
      <c r="L48" s="7"/>
      <c r="M48" s="7"/>
      <c r="N48" s="7"/>
      <c r="O48" s="8" t="s">
        <v>221</v>
      </c>
      <c r="P48" s="8"/>
    </row>
    <row r="49" spans="1:16" x14ac:dyDescent="0.35">
      <c r="A49" s="27" t="str">
        <f t="shared" si="0"/>
        <v>9CDE</v>
      </c>
      <c r="B49" s="27">
        <f t="shared" si="1"/>
        <v>40158</v>
      </c>
      <c r="C49" s="7">
        <v>90</v>
      </c>
      <c r="D49" s="7"/>
      <c r="E49" s="7" t="s">
        <v>222</v>
      </c>
      <c r="F49" s="36" t="s">
        <v>125</v>
      </c>
      <c r="G49" s="7"/>
      <c r="H49" s="7" t="s">
        <v>118</v>
      </c>
      <c r="I49" s="7"/>
      <c r="J49" s="7"/>
      <c r="K49" s="7" t="s">
        <v>206</v>
      </c>
      <c r="L49" s="7"/>
      <c r="M49" s="7"/>
      <c r="N49" s="7"/>
      <c r="O49" s="8" t="s">
        <v>223</v>
      </c>
      <c r="P49" s="8"/>
    </row>
    <row r="50" spans="1:16" x14ac:dyDescent="0.35">
      <c r="A50" s="27" t="str">
        <f t="shared" si="0"/>
        <v>9CE0</v>
      </c>
      <c r="B50" s="27">
        <f t="shared" si="1"/>
        <v>40160</v>
      </c>
      <c r="C50" s="7">
        <v>92</v>
      </c>
      <c r="D50" s="7"/>
      <c r="E50" s="7" t="s">
        <v>224</v>
      </c>
      <c r="F50" s="32"/>
      <c r="G50" s="7"/>
      <c r="H50" s="7" t="s">
        <v>118</v>
      </c>
      <c r="I50" s="7"/>
      <c r="J50" s="7"/>
      <c r="K50" s="7" t="s">
        <v>225</v>
      </c>
      <c r="L50" s="7"/>
      <c r="M50" s="7"/>
      <c r="N50" s="7"/>
      <c r="O50" s="8" t="s">
        <v>226</v>
      </c>
      <c r="P50" s="8" t="s">
        <v>227</v>
      </c>
    </row>
    <row r="51" spans="1:16" ht="29" x14ac:dyDescent="0.35">
      <c r="A51" s="27" t="str">
        <f t="shared" si="0"/>
        <v>9CE2</v>
      </c>
      <c r="B51" s="27">
        <f t="shared" si="1"/>
        <v>40162</v>
      </c>
      <c r="C51" s="7">
        <v>94</v>
      </c>
      <c r="D51" s="7"/>
      <c r="E51" s="7" t="s">
        <v>228</v>
      </c>
      <c r="F51" s="36" t="s">
        <v>125</v>
      </c>
      <c r="G51" s="7"/>
      <c r="H51" s="7" t="s">
        <v>118</v>
      </c>
      <c r="I51" s="7"/>
      <c r="J51" s="7"/>
      <c r="K51" s="7" t="s">
        <v>225</v>
      </c>
      <c r="L51" s="7"/>
      <c r="M51" s="7"/>
      <c r="N51" s="7"/>
      <c r="O51" s="8" t="s">
        <v>229</v>
      </c>
      <c r="P51" s="8"/>
    </row>
    <row r="52" spans="1:16" ht="29" x14ac:dyDescent="0.35">
      <c r="A52" s="27" t="str">
        <f t="shared" si="0"/>
        <v>9CE4</v>
      </c>
      <c r="B52" s="27">
        <f t="shared" si="1"/>
        <v>40164</v>
      </c>
      <c r="C52" s="7">
        <v>96</v>
      </c>
      <c r="D52" s="7"/>
      <c r="E52" s="7" t="s">
        <v>230</v>
      </c>
      <c r="F52" s="36" t="s">
        <v>125</v>
      </c>
      <c r="G52" s="7"/>
      <c r="H52" s="7" t="s">
        <v>118</v>
      </c>
      <c r="I52" s="7"/>
      <c r="J52" s="7"/>
      <c r="K52" s="7" t="s">
        <v>225</v>
      </c>
      <c r="L52" s="7"/>
      <c r="M52" s="7"/>
      <c r="N52" s="7"/>
      <c r="O52" s="8" t="s">
        <v>231</v>
      </c>
      <c r="P52" s="8"/>
    </row>
    <row r="53" spans="1:16" ht="29" x14ac:dyDescent="0.35">
      <c r="A53" s="27" t="str">
        <f t="shared" si="0"/>
        <v>9CE6</v>
      </c>
      <c r="B53" s="27">
        <f t="shared" si="1"/>
        <v>40166</v>
      </c>
      <c r="C53" s="7">
        <v>98</v>
      </c>
      <c r="D53" s="7"/>
      <c r="E53" s="7" t="s">
        <v>232</v>
      </c>
      <c r="F53" s="36" t="s">
        <v>125</v>
      </c>
      <c r="G53" s="7"/>
      <c r="H53" s="7" t="s">
        <v>118</v>
      </c>
      <c r="I53" s="7"/>
      <c r="J53" s="7"/>
      <c r="K53" s="7" t="s">
        <v>225</v>
      </c>
      <c r="L53" s="7"/>
      <c r="M53" s="7"/>
      <c r="N53" s="7"/>
      <c r="O53" s="8" t="s">
        <v>233</v>
      </c>
      <c r="P53" s="8"/>
    </row>
    <row r="54" spans="1:16" x14ac:dyDescent="0.35">
      <c r="A54" s="27" t="str">
        <f t="shared" si="0"/>
        <v>9CE8</v>
      </c>
      <c r="B54" s="27">
        <f t="shared" si="1"/>
        <v>40168</v>
      </c>
      <c r="C54" s="7">
        <v>100</v>
      </c>
      <c r="D54" s="7"/>
      <c r="E54" s="7" t="s">
        <v>234</v>
      </c>
      <c r="F54" s="7"/>
      <c r="G54" s="7"/>
      <c r="H54" s="7" t="s">
        <v>118</v>
      </c>
      <c r="I54" s="7"/>
      <c r="J54" s="7"/>
      <c r="K54" s="7" t="s">
        <v>225</v>
      </c>
      <c r="L54" s="7"/>
      <c r="M54" s="7"/>
      <c r="N54" s="7"/>
      <c r="O54" s="8" t="s">
        <v>235</v>
      </c>
      <c r="P54" s="8" t="s">
        <v>236</v>
      </c>
    </row>
    <row r="55" spans="1:16" ht="29" x14ac:dyDescent="0.35">
      <c r="A55" s="27" t="str">
        <f t="shared" si="0"/>
        <v>9CEA</v>
      </c>
      <c r="B55" s="27">
        <f t="shared" si="1"/>
        <v>40170</v>
      </c>
      <c r="C55" s="7">
        <v>102</v>
      </c>
      <c r="D55" s="7"/>
      <c r="E55" s="7" t="s">
        <v>237</v>
      </c>
      <c r="F55" s="36" t="s">
        <v>125</v>
      </c>
      <c r="G55" s="7"/>
      <c r="H55" s="7" t="s">
        <v>118</v>
      </c>
      <c r="I55" s="7"/>
      <c r="J55" s="7"/>
      <c r="K55" s="7" t="s">
        <v>225</v>
      </c>
      <c r="L55" s="7"/>
      <c r="M55" s="7"/>
      <c r="N55" s="7"/>
      <c r="O55" s="8" t="s">
        <v>238</v>
      </c>
      <c r="P55" s="8"/>
    </row>
    <row r="56" spans="1:16" ht="29" x14ac:dyDescent="0.35">
      <c r="A56" s="27" t="str">
        <f t="shared" si="0"/>
        <v>9CEC</v>
      </c>
      <c r="B56" s="27">
        <f t="shared" si="1"/>
        <v>40172</v>
      </c>
      <c r="C56" s="7">
        <v>104</v>
      </c>
      <c r="D56" s="7"/>
      <c r="E56" s="7" t="s">
        <v>239</v>
      </c>
      <c r="F56" s="36" t="s">
        <v>125</v>
      </c>
      <c r="G56" s="7"/>
      <c r="H56" s="7" t="s">
        <v>118</v>
      </c>
      <c r="I56" s="7"/>
      <c r="J56" s="7"/>
      <c r="K56" s="7" t="s">
        <v>225</v>
      </c>
      <c r="L56" s="7"/>
      <c r="M56" s="7"/>
      <c r="N56" s="7"/>
      <c r="O56" s="8" t="s">
        <v>240</v>
      </c>
      <c r="P56" s="8"/>
    </row>
    <row r="57" spans="1:16" ht="29" x14ac:dyDescent="0.35">
      <c r="A57" s="27" t="str">
        <f t="shared" si="0"/>
        <v>9CEE</v>
      </c>
      <c r="B57" s="27">
        <f t="shared" si="1"/>
        <v>40174</v>
      </c>
      <c r="C57" s="7">
        <v>106</v>
      </c>
      <c r="D57" s="7"/>
      <c r="E57" s="7" t="s">
        <v>241</v>
      </c>
      <c r="F57" s="36" t="s">
        <v>125</v>
      </c>
      <c r="G57" s="7"/>
      <c r="H57" s="7" t="s">
        <v>118</v>
      </c>
      <c r="I57" s="7"/>
      <c r="J57" s="7"/>
      <c r="K57" s="7" t="s">
        <v>225</v>
      </c>
      <c r="L57" s="7"/>
      <c r="M57" s="7"/>
      <c r="N57" s="7"/>
      <c r="O57" s="8" t="s">
        <v>242</v>
      </c>
      <c r="P57" s="8"/>
    </row>
    <row r="58" spans="1:16" x14ac:dyDescent="0.35">
      <c r="A58" s="27" t="str">
        <f t="shared" si="0"/>
        <v>9CF0</v>
      </c>
      <c r="B58" s="27">
        <f t="shared" si="1"/>
        <v>40176</v>
      </c>
      <c r="C58" s="7">
        <v>108</v>
      </c>
      <c r="D58" s="7"/>
      <c r="E58" s="7" t="s">
        <v>243</v>
      </c>
      <c r="F58" s="7"/>
      <c r="G58" s="7"/>
      <c r="H58" s="7" t="s">
        <v>118</v>
      </c>
      <c r="I58" s="7"/>
      <c r="J58" s="7"/>
      <c r="K58" s="7" t="s">
        <v>225</v>
      </c>
      <c r="L58" s="7"/>
      <c r="M58" s="7"/>
      <c r="N58" s="7"/>
      <c r="O58" s="8" t="s">
        <v>244</v>
      </c>
      <c r="P58" s="8" t="s">
        <v>245</v>
      </c>
    </row>
    <row r="59" spans="1:16" ht="29" x14ac:dyDescent="0.35">
      <c r="A59" s="27" t="str">
        <f t="shared" si="0"/>
        <v>9CF2</v>
      </c>
      <c r="B59" s="27">
        <f t="shared" si="1"/>
        <v>40178</v>
      </c>
      <c r="C59" s="7">
        <v>110</v>
      </c>
      <c r="D59" s="7"/>
      <c r="E59" s="7" t="s">
        <v>246</v>
      </c>
      <c r="F59" s="36" t="s">
        <v>125</v>
      </c>
      <c r="G59" s="7"/>
      <c r="H59" s="7" t="s">
        <v>118</v>
      </c>
      <c r="I59" s="7"/>
      <c r="J59" s="7"/>
      <c r="K59" s="7" t="s">
        <v>225</v>
      </c>
      <c r="L59" s="7"/>
      <c r="M59" s="7"/>
      <c r="N59" s="7"/>
      <c r="O59" s="8" t="s">
        <v>247</v>
      </c>
      <c r="P59" s="8"/>
    </row>
    <row r="60" spans="1:16" ht="29" x14ac:dyDescent="0.35">
      <c r="A60" s="27" t="str">
        <f t="shared" si="0"/>
        <v>9CF4</v>
      </c>
      <c r="B60" s="27">
        <f t="shared" si="1"/>
        <v>40180</v>
      </c>
      <c r="C60" s="7">
        <v>112</v>
      </c>
      <c r="D60" s="7"/>
      <c r="E60" s="7" t="s">
        <v>248</v>
      </c>
      <c r="F60" s="36" t="s">
        <v>125</v>
      </c>
      <c r="G60" s="7"/>
      <c r="H60" s="7" t="s">
        <v>118</v>
      </c>
      <c r="I60" s="7"/>
      <c r="J60" s="7"/>
      <c r="K60" s="7" t="s">
        <v>225</v>
      </c>
      <c r="L60" s="7"/>
      <c r="M60" s="7"/>
      <c r="N60" s="7"/>
      <c r="O60" s="8" t="s">
        <v>249</v>
      </c>
      <c r="P60" s="8"/>
    </row>
    <row r="61" spans="1:16" ht="29" x14ac:dyDescent="0.35">
      <c r="A61" s="27" t="str">
        <f t="shared" si="0"/>
        <v>9CF6</v>
      </c>
      <c r="B61" s="27">
        <f t="shared" si="1"/>
        <v>40182</v>
      </c>
      <c r="C61" s="7">
        <v>114</v>
      </c>
      <c r="D61" s="7"/>
      <c r="E61" s="7" t="s">
        <v>250</v>
      </c>
      <c r="F61" s="36" t="s">
        <v>125</v>
      </c>
      <c r="G61" s="7"/>
      <c r="H61" s="7" t="s">
        <v>118</v>
      </c>
      <c r="I61" s="7"/>
      <c r="J61" s="7"/>
      <c r="K61" s="7" t="s">
        <v>225</v>
      </c>
      <c r="L61" s="7"/>
      <c r="M61" s="7"/>
      <c r="N61" s="7"/>
      <c r="O61" s="8" t="s">
        <v>251</v>
      </c>
      <c r="P61" s="8"/>
    </row>
    <row r="62" spans="1:16" x14ac:dyDescent="0.35">
      <c r="A62" s="27" t="str">
        <f t="shared" si="0"/>
        <v>9CF8</v>
      </c>
      <c r="B62" s="27">
        <f t="shared" si="1"/>
        <v>40184</v>
      </c>
      <c r="C62" s="7">
        <v>116</v>
      </c>
      <c r="D62" s="7"/>
      <c r="E62" s="7" t="s">
        <v>252</v>
      </c>
      <c r="F62" s="7"/>
      <c r="G62" s="7"/>
      <c r="H62" s="7" t="s">
        <v>118</v>
      </c>
      <c r="I62" s="7"/>
      <c r="J62" s="7"/>
      <c r="K62" s="7" t="s">
        <v>225</v>
      </c>
      <c r="L62" s="7"/>
      <c r="M62" s="7"/>
      <c r="N62" s="7"/>
      <c r="O62" s="8" t="s">
        <v>253</v>
      </c>
      <c r="P62" s="8" t="s">
        <v>254</v>
      </c>
    </row>
    <row r="63" spans="1:16" ht="29" x14ac:dyDescent="0.35">
      <c r="A63" s="27" t="str">
        <f t="shared" si="0"/>
        <v>9CFA</v>
      </c>
      <c r="B63" s="27">
        <f t="shared" si="1"/>
        <v>40186</v>
      </c>
      <c r="C63" s="7">
        <v>118</v>
      </c>
      <c r="D63" s="7"/>
      <c r="E63" s="7" t="s">
        <v>255</v>
      </c>
      <c r="F63" s="36" t="s">
        <v>125</v>
      </c>
      <c r="G63" s="7"/>
      <c r="H63" s="7" t="s">
        <v>118</v>
      </c>
      <c r="I63" s="7"/>
      <c r="J63" s="7"/>
      <c r="K63" s="7" t="s">
        <v>225</v>
      </c>
      <c r="L63" s="7"/>
      <c r="M63" s="7"/>
      <c r="N63" s="7"/>
      <c r="O63" s="8" t="s">
        <v>256</v>
      </c>
      <c r="P63" s="8"/>
    </row>
    <row r="64" spans="1:16" ht="29" x14ac:dyDescent="0.35">
      <c r="A64" s="27" t="str">
        <f t="shared" si="0"/>
        <v>9CFC</v>
      </c>
      <c r="B64" s="27">
        <f t="shared" si="1"/>
        <v>40188</v>
      </c>
      <c r="C64" s="7">
        <v>120</v>
      </c>
      <c r="D64" s="7"/>
      <c r="E64" s="7" t="s">
        <v>257</v>
      </c>
      <c r="F64" s="36" t="s">
        <v>125</v>
      </c>
      <c r="G64" s="7"/>
      <c r="H64" s="7" t="s">
        <v>118</v>
      </c>
      <c r="I64" s="7"/>
      <c r="J64" s="7"/>
      <c r="K64" s="7" t="s">
        <v>225</v>
      </c>
      <c r="L64" s="7"/>
      <c r="M64" s="7"/>
      <c r="N64" s="7"/>
      <c r="O64" s="8" t="s">
        <v>258</v>
      </c>
      <c r="P64" s="8"/>
    </row>
    <row r="65" spans="1:16" ht="29" x14ac:dyDescent="0.35">
      <c r="A65" s="27" t="str">
        <f t="shared" si="0"/>
        <v>9CFE</v>
      </c>
      <c r="B65" s="27">
        <f t="shared" si="1"/>
        <v>40190</v>
      </c>
      <c r="C65" s="7">
        <v>122</v>
      </c>
      <c r="D65" s="7"/>
      <c r="E65" s="7" t="s">
        <v>259</v>
      </c>
      <c r="F65" s="36" t="s">
        <v>125</v>
      </c>
      <c r="G65" s="7"/>
      <c r="H65" s="7" t="s">
        <v>118</v>
      </c>
      <c r="I65" s="7"/>
      <c r="J65" s="7"/>
      <c r="K65" s="7" t="s">
        <v>225</v>
      </c>
      <c r="L65" s="7"/>
      <c r="M65" s="7"/>
      <c r="N65" s="7"/>
      <c r="O65" s="8" t="s">
        <v>260</v>
      </c>
      <c r="P65" s="8"/>
    </row>
    <row r="66" spans="1:16" x14ac:dyDescent="0.35">
      <c r="A66" s="27" t="str">
        <f t="shared" si="0"/>
        <v>9D00</v>
      </c>
      <c r="B66" s="27">
        <f t="shared" si="1"/>
        <v>40192</v>
      </c>
      <c r="C66" s="7">
        <v>124</v>
      </c>
      <c r="D66" s="7"/>
      <c r="E66" s="7" t="s">
        <v>261</v>
      </c>
      <c r="F66" s="7"/>
      <c r="G66" s="7"/>
      <c r="H66" s="7" t="s">
        <v>262</v>
      </c>
      <c r="I66" s="7"/>
      <c r="J66" s="7"/>
      <c r="K66" s="7"/>
      <c r="L66" s="7"/>
      <c r="M66" s="7" t="s">
        <v>89</v>
      </c>
      <c r="N66" s="7"/>
      <c r="O66" s="8" t="s">
        <v>263</v>
      </c>
      <c r="P66" s="8" t="s">
        <v>264</v>
      </c>
    </row>
    <row r="67" spans="1:16" x14ac:dyDescent="0.35">
      <c r="C67" s="9"/>
      <c r="D67" s="9"/>
      <c r="E67" s="9" t="s">
        <v>265</v>
      </c>
      <c r="F67" s="9">
        <v>2</v>
      </c>
      <c r="G67" s="9"/>
      <c r="H67" s="9"/>
      <c r="I67" s="9"/>
      <c r="J67" s="9"/>
      <c r="K67" s="9"/>
      <c r="L67" s="9"/>
      <c r="M67" s="9"/>
      <c r="N67" s="9"/>
      <c r="O67" s="10"/>
      <c r="P67" s="10"/>
    </row>
    <row r="68" spans="1:16" x14ac:dyDescent="0.35">
      <c r="C68" s="9"/>
      <c r="D68" s="9"/>
      <c r="E68" s="9" t="s">
        <v>266</v>
      </c>
      <c r="F68" s="9">
        <v>3</v>
      </c>
      <c r="G68" s="9"/>
      <c r="H68" s="9"/>
      <c r="I68" s="9"/>
      <c r="J68" s="9"/>
      <c r="K68" s="9"/>
      <c r="L68" s="9"/>
      <c r="M68" s="9"/>
      <c r="N68" s="9"/>
      <c r="O68" s="10"/>
      <c r="P68" s="10"/>
    </row>
    <row r="69" spans="1:16" x14ac:dyDescent="0.35">
      <c r="C69" s="9"/>
      <c r="D69" s="9"/>
      <c r="E69" s="9" t="s">
        <v>267</v>
      </c>
      <c r="F69" s="9">
        <v>4</v>
      </c>
      <c r="G69" s="9"/>
      <c r="H69" s="9"/>
      <c r="I69" s="9"/>
      <c r="J69" s="9"/>
      <c r="K69" s="9"/>
      <c r="L69" s="9"/>
      <c r="M69" s="9"/>
      <c r="N69" s="9"/>
      <c r="O69" s="10"/>
      <c r="P69" s="10"/>
    </row>
    <row r="70" spans="1:16" x14ac:dyDescent="0.35">
      <c r="C70" s="9"/>
      <c r="D70" s="9"/>
      <c r="E70" s="9" t="s">
        <v>268</v>
      </c>
      <c r="F70" s="9">
        <v>5</v>
      </c>
      <c r="G70" s="9"/>
      <c r="H70" s="9"/>
      <c r="I70" s="9"/>
      <c r="J70" s="9"/>
      <c r="K70" s="9"/>
      <c r="L70" s="9"/>
      <c r="M70" s="9"/>
      <c r="N70" s="9"/>
      <c r="O70" s="10"/>
      <c r="P70" s="10"/>
    </row>
    <row r="71" spans="1:16" x14ac:dyDescent="0.35">
      <c r="C71" s="9"/>
      <c r="D71" s="9"/>
      <c r="E71" s="9" t="s">
        <v>269</v>
      </c>
      <c r="F71" s="9">
        <v>6</v>
      </c>
      <c r="G71" s="9"/>
      <c r="H71" s="9"/>
      <c r="I71" s="9"/>
      <c r="J71" s="9"/>
      <c r="K71" s="9"/>
      <c r="L71" s="9"/>
      <c r="M71" s="9"/>
      <c r="N71" s="9"/>
      <c r="O71" s="10"/>
      <c r="P71" s="10"/>
    </row>
    <row r="72" spans="1:16" x14ac:dyDescent="0.35">
      <c r="C72" s="9"/>
      <c r="D72" s="9"/>
      <c r="E72" s="9" t="s">
        <v>270</v>
      </c>
      <c r="F72" s="9">
        <v>7</v>
      </c>
      <c r="G72" s="9"/>
      <c r="H72" s="9"/>
      <c r="I72" s="9"/>
      <c r="J72" s="9"/>
      <c r="K72" s="9"/>
      <c r="L72" s="9"/>
      <c r="M72" s="9"/>
      <c r="N72" s="9"/>
      <c r="O72" s="10"/>
      <c r="P72" s="10"/>
    </row>
    <row r="73" spans="1:16" x14ac:dyDescent="0.35">
      <c r="C73" s="9"/>
      <c r="D73" s="9"/>
      <c r="E73" s="9" t="s">
        <v>271</v>
      </c>
      <c r="F73" s="9">
        <v>8</v>
      </c>
      <c r="G73" s="9"/>
      <c r="H73" s="9"/>
      <c r="I73" s="9"/>
      <c r="J73" s="9"/>
      <c r="K73" s="9"/>
      <c r="L73" s="9"/>
      <c r="M73" s="9"/>
      <c r="N73" s="9"/>
      <c r="O73" s="10"/>
      <c r="P73" s="10"/>
    </row>
    <row r="74" spans="1:16" x14ac:dyDescent="0.35">
      <c r="C74" s="9"/>
      <c r="D74" s="9"/>
      <c r="E74" s="9" t="s">
        <v>272</v>
      </c>
      <c r="F74" s="9">
        <v>9</v>
      </c>
      <c r="G74" s="9"/>
      <c r="H74" s="9"/>
      <c r="I74" s="9"/>
      <c r="J74" s="9"/>
      <c r="K74" s="9"/>
      <c r="L74" s="9"/>
      <c r="M74" s="9"/>
      <c r="N74" s="9"/>
      <c r="O74" s="10"/>
      <c r="P74" s="10"/>
    </row>
    <row r="75" spans="1:16" x14ac:dyDescent="0.35">
      <c r="C75" s="9"/>
      <c r="D75" s="9"/>
      <c r="E75" s="9" t="s">
        <v>273</v>
      </c>
      <c r="F75" s="9">
        <v>10</v>
      </c>
      <c r="G75" s="9"/>
      <c r="H75" s="9"/>
      <c r="I75" s="9"/>
      <c r="J75" s="9"/>
      <c r="K75" s="9"/>
      <c r="L75" s="9"/>
      <c r="M75" s="9"/>
      <c r="N75" s="9"/>
      <c r="O75" s="10"/>
      <c r="P75" s="10"/>
    </row>
    <row r="76" spans="1:16" x14ac:dyDescent="0.35">
      <c r="C76" s="9"/>
      <c r="D76" s="9"/>
      <c r="E76" s="9" t="s">
        <v>274</v>
      </c>
      <c r="F76" s="9">
        <v>11</v>
      </c>
      <c r="G76" s="9"/>
      <c r="H76" s="9"/>
      <c r="I76" s="9"/>
      <c r="J76" s="9"/>
      <c r="K76" s="9"/>
      <c r="L76" s="9"/>
      <c r="M76" s="9"/>
      <c r="N76" s="9"/>
      <c r="O76" s="10"/>
      <c r="P76" s="10"/>
    </row>
    <row r="77" spans="1:16" x14ac:dyDescent="0.35">
      <c r="C77" s="9"/>
      <c r="D77" s="9"/>
      <c r="E77" s="9" t="s">
        <v>275</v>
      </c>
      <c r="F77" s="9">
        <v>12</v>
      </c>
      <c r="G77" s="9"/>
      <c r="H77" s="9"/>
      <c r="I77" s="9"/>
      <c r="J77" s="9"/>
      <c r="K77" s="9"/>
      <c r="L77" s="9"/>
      <c r="M77" s="9"/>
      <c r="N77" s="9"/>
      <c r="O77" s="10"/>
      <c r="P77" s="10"/>
    </row>
    <row r="78" spans="1:16" x14ac:dyDescent="0.35">
      <c r="C78" s="9"/>
      <c r="D78" s="9"/>
      <c r="E78" s="9" t="s">
        <v>276</v>
      </c>
      <c r="F78" s="9">
        <v>13</v>
      </c>
      <c r="G78" s="9"/>
      <c r="H78" s="9"/>
      <c r="I78" s="9"/>
      <c r="J78" s="9"/>
      <c r="K78" s="9"/>
      <c r="L78" s="9"/>
      <c r="M78" s="9"/>
      <c r="N78" s="9"/>
      <c r="O78" s="10"/>
      <c r="P78" s="10"/>
    </row>
    <row r="79" spans="1:16" x14ac:dyDescent="0.35">
      <c r="C79" s="9"/>
      <c r="D79" s="9"/>
      <c r="E79" s="9" t="s">
        <v>277</v>
      </c>
      <c r="F79" s="9">
        <v>14</v>
      </c>
      <c r="G79" s="9"/>
      <c r="H79" s="9"/>
      <c r="I79" s="9"/>
      <c r="J79" s="9"/>
      <c r="K79" s="9"/>
      <c r="L79" s="9"/>
      <c r="M79" s="9"/>
      <c r="N79" s="9"/>
      <c r="O79" s="10"/>
      <c r="P79" s="10"/>
    </row>
    <row r="80" spans="1:16" x14ac:dyDescent="0.35">
      <c r="C80" s="9"/>
      <c r="D80" s="9"/>
      <c r="E80" s="9" t="s">
        <v>278</v>
      </c>
      <c r="F80" s="9">
        <v>15</v>
      </c>
      <c r="G80" s="9"/>
      <c r="H80" s="9"/>
      <c r="I80" s="9"/>
      <c r="J80" s="9"/>
      <c r="K80" s="9"/>
      <c r="L80" s="9"/>
      <c r="M80" s="9"/>
      <c r="N80" s="9"/>
      <c r="O80" s="10"/>
      <c r="P80" s="10"/>
    </row>
    <row r="81" spans="3:16" x14ac:dyDescent="0.35">
      <c r="C81" s="9"/>
      <c r="D81" s="9"/>
      <c r="E81" s="9" t="s">
        <v>279</v>
      </c>
      <c r="F81" s="9">
        <v>16</v>
      </c>
      <c r="G81" s="9"/>
      <c r="H81" s="9"/>
      <c r="I81" s="9"/>
      <c r="J81" s="9"/>
      <c r="K81" s="9"/>
      <c r="L81" s="9"/>
      <c r="M81" s="9"/>
      <c r="N81" s="9"/>
      <c r="O81" s="10"/>
      <c r="P81" s="10"/>
    </row>
    <row r="82" spans="3:16" x14ac:dyDescent="0.35">
      <c r="C82" s="9"/>
      <c r="D82" s="9"/>
      <c r="E82" s="9" t="s">
        <v>280</v>
      </c>
      <c r="F82" s="9">
        <v>17</v>
      </c>
      <c r="G82" s="9"/>
      <c r="H82" s="9"/>
      <c r="I82" s="9"/>
      <c r="J82" s="9"/>
      <c r="K82" s="9"/>
      <c r="L82" s="9"/>
      <c r="M82" s="9"/>
      <c r="N82" s="9"/>
      <c r="O82" s="10"/>
      <c r="P82" s="10"/>
    </row>
    <row r="83" spans="3:16" x14ac:dyDescent="0.35">
      <c r="C83" s="9"/>
      <c r="D83" s="9"/>
      <c r="E83" s="9" t="s">
        <v>281</v>
      </c>
      <c r="F83" s="9">
        <v>18</v>
      </c>
      <c r="G83" s="9"/>
      <c r="H83" s="9"/>
      <c r="I83" s="9"/>
      <c r="J83" s="9"/>
      <c r="K83" s="9"/>
      <c r="L83" s="9"/>
      <c r="M83" s="9"/>
      <c r="N83" s="9"/>
      <c r="O83" s="10"/>
      <c r="P83" s="10"/>
    </row>
    <row r="84" spans="3:16" x14ac:dyDescent="0.35">
      <c r="C84" s="9"/>
      <c r="D84" s="9"/>
      <c r="E84" s="9" t="s">
        <v>282</v>
      </c>
      <c r="F84" s="9">
        <v>19</v>
      </c>
      <c r="G84" s="9"/>
      <c r="H84" s="9"/>
      <c r="I84" s="9"/>
      <c r="J84" s="9"/>
      <c r="K84" s="9"/>
      <c r="L84" s="9"/>
      <c r="M84" s="9"/>
      <c r="N84" s="9"/>
      <c r="O84" s="10"/>
      <c r="P84" s="10"/>
    </row>
    <row r="85" spans="3:16" x14ac:dyDescent="0.35">
      <c r="C85" s="9"/>
      <c r="D85" s="9"/>
      <c r="E85" s="9" t="s">
        <v>283</v>
      </c>
      <c r="F85" s="9">
        <v>20</v>
      </c>
      <c r="G85" s="9"/>
      <c r="H85" s="9"/>
      <c r="I85" s="9"/>
      <c r="J85" s="9"/>
      <c r="K85" s="9"/>
      <c r="L85" s="9"/>
      <c r="M85" s="9"/>
      <c r="N85" s="9"/>
      <c r="O85" s="10"/>
      <c r="P85" s="10"/>
    </row>
    <row r="86" spans="3:16" x14ac:dyDescent="0.35">
      <c r="C86" s="9"/>
      <c r="D86" s="9"/>
      <c r="E86" s="9" t="s">
        <v>284</v>
      </c>
      <c r="F86" s="9">
        <v>21</v>
      </c>
      <c r="G86" s="9"/>
      <c r="H86" s="9"/>
      <c r="I86" s="9"/>
      <c r="J86" s="9"/>
      <c r="K86" s="9"/>
      <c r="L86" s="9"/>
      <c r="M86" s="9"/>
      <c r="N86" s="9"/>
      <c r="O86" s="10"/>
      <c r="P86" s="10"/>
    </row>
    <row r="87" spans="3:16" x14ac:dyDescent="0.35">
      <c r="C87" s="9"/>
      <c r="D87" s="9"/>
      <c r="E87" s="9" t="s">
        <v>285</v>
      </c>
      <c r="F87" s="9">
        <v>22</v>
      </c>
      <c r="G87" s="9"/>
      <c r="H87" s="9"/>
      <c r="I87" s="9"/>
      <c r="J87" s="9"/>
      <c r="K87" s="9"/>
      <c r="L87" s="9"/>
      <c r="M87" s="9"/>
      <c r="N87" s="9"/>
      <c r="O87" s="10"/>
      <c r="P87" s="10"/>
    </row>
    <row r="88" spans="3:16" x14ac:dyDescent="0.35">
      <c r="C88" s="9"/>
      <c r="D88" s="9"/>
      <c r="E88" s="9" t="s">
        <v>286</v>
      </c>
      <c r="F88" s="9">
        <v>23</v>
      </c>
      <c r="G88" s="9"/>
      <c r="H88" s="9"/>
      <c r="I88" s="9"/>
      <c r="J88" s="9"/>
      <c r="K88" s="9"/>
      <c r="L88" s="9"/>
      <c r="M88" s="9"/>
      <c r="N88" s="9"/>
      <c r="O88" s="10"/>
      <c r="P88" s="10"/>
    </row>
    <row r="89" spans="3:16" x14ac:dyDescent="0.35">
      <c r="C89" s="9"/>
      <c r="D89" s="9"/>
      <c r="E89" s="9" t="s">
        <v>287</v>
      </c>
      <c r="F89" s="9">
        <v>24</v>
      </c>
      <c r="G89" s="9"/>
      <c r="H89" s="9"/>
      <c r="I89" s="9"/>
      <c r="J89" s="9"/>
      <c r="K89" s="9"/>
      <c r="L89" s="9"/>
      <c r="M89" s="9"/>
      <c r="N89" s="9"/>
      <c r="O89" s="10"/>
      <c r="P89" s="10"/>
    </row>
    <row r="90" spans="3:16" x14ac:dyDescent="0.35">
      <c r="C90" s="9"/>
      <c r="D90" s="9"/>
      <c r="E90" s="9" t="s">
        <v>288</v>
      </c>
      <c r="F90" s="9">
        <v>25</v>
      </c>
      <c r="G90" s="9"/>
      <c r="H90" s="9"/>
      <c r="I90" s="9"/>
      <c r="J90" s="9"/>
      <c r="K90" s="9"/>
      <c r="L90" s="9"/>
      <c r="M90" s="9"/>
      <c r="N90" s="9"/>
      <c r="O90" s="10"/>
      <c r="P90" s="10"/>
    </row>
    <row r="91" spans="3:16" x14ac:dyDescent="0.35">
      <c r="C91" s="9"/>
      <c r="D91" s="9"/>
      <c r="E91" s="9" t="s">
        <v>289</v>
      </c>
      <c r="F91" s="9">
        <v>26</v>
      </c>
      <c r="G91" s="9"/>
      <c r="H91" s="9"/>
      <c r="I91" s="9"/>
      <c r="J91" s="9"/>
      <c r="K91" s="9"/>
      <c r="L91" s="9"/>
      <c r="M91" s="9"/>
      <c r="N91" s="9"/>
      <c r="O91" s="10"/>
      <c r="P91" s="10"/>
    </row>
    <row r="92" spans="3:16" x14ac:dyDescent="0.35">
      <c r="C92" s="9"/>
      <c r="D92" s="9"/>
      <c r="E92" s="9" t="s">
        <v>290</v>
      </c>
      <c r="F92" s="9">
        <v>27</v>
      </c>
      <c r="G92" s="9"/>
      <c r="H92" s="9"/>
      <c r="I92" s="9"/>
      <c r="J92" s="9"/>
      <c r="K92" s="9"/>
      <c r="L92" s="9"/>
      <c r="M92" s="9"/>
      <c r="N92" s="9"/>
      <c r="O92" s="10"/>
      <c r="P92" s="10"/>
    </row>
    <row r="93" spans="3:16" x14ac:dyDescent="0.35">
      <c r="C93" s="9"/>
      <c r="D93" s="9"/>
      <c r="E93" s="9" t="s">
        <v>291</v>
      </c>
      <c r="F93" s="9">
        <v>28</v>
      </c>
      <c r="G93" s="9"/>
      <c r="H93" s="9"/>
      <c r="I93" s="9"/>
      <c r="J93" s="9"/>
      <c r="K93" s="9"/>
      <c r="L93" s="9"/>
      <c r="M93" s="9"/>
      <c r="N93" s="9"/>
      <c r="O93" s="10"/>
      <c r="P93" s="10"/>
    </row>
    <row r="94" spans="3:16" x14ac:dyDescent="0.35">
      <c r="C94" s="9"/>
      <c r="D94" s="9"/>
      <c r="E94" s="9" t="s">
        <v>292</v>
      </c>
      <c r="F94" s="9">
        <v>29</v>
      </c>
      <c r="G94" s="9"/>
      <c r="H94" s="9"/>
      <c r="I94" s="9"/>
      <c r="J94" s="9"/>
      <c r="K94" s="9"/>
      <c r="L94" s="9"/>
      <c r="M94" s="9"/>
      <c r="N94" s="9"/>
      <c r="O94" s="10"/>
      <c r="P94" s="10"/>
    </row>
    <row r="95" spans="3:16" x14ac:dyDescent="0.35">
      <c r="C95" s="9"/>
      <c r="D95" s="9"/>
      <c r="E95" s="9" t="s">
        <v>293</v>
      </c>
      <c r="F95" s="9">
        <v>30</v>
      </c>
      <c r="G95" s="9"/>
      <c r="H95" s="9"/>
      <c r="I95" s="9"/>
      <c r="J95" s="9"/>
      <c r="K95" s="9"/>
      <c r="L95" s="9"/>
      <c r="M95" s="9"/>
      <c r="N95" s="9"/>
      <c r="O95" s="10"/>
      <c r="P95" s="10"/>
    </row>
  </sheetData>
  <mergeCells count="1">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P95"/>
  <sheetViews>
    <sheetView topLeftCell="A57" workbookViewId="0">
      <selection activeCell="I66" sqref="I66"/>
    </sheetView>
  </sheetViews>
  <sheetFormatPr defaultRowHeight="14.5" x14ac:dyDescent="0.35"/>
  <cols>
    <col min="5" max="5" width="25" customWidth="1"/>
    <col min="6" max="6" width="32.7265625" bestFit="1" customWidth="1"/>
    <col min="7" max="14" width="12" customWidth="1"/>
    <col min="15" max="15" width="30" customWidth="1"/>
    <col min="16" max="16" width="60" customWidth="1"/>
  </cols>
  <sheetData>
    <row r="1" spans="1:16" ht="29" x14ac:dyDescent="0.35">
      <c r="A1" s="38" t="s">
        <v>70</v>
      </c>
      <c r="B1" s="38"/>
      <c r="C1" s="1" t="s">
        <v>71</v>
      </c>
      <c r="D1" s="1" t="s">
        <v>72</v>
      </c>
      <c r="E1" s="1" t="s">
        <v>73</v>
      </c>
      <c r="F1" s="1" t="s">
        <v>74</v>
      </c>
      <c r="G1" s="1" t="s">
        <v>75</v>
      </c>
      <c r="H1" s="1" t="s">
        <v>76</v>
      </c>
      <c r="I1" s="1" t="s">
        <v>77</v>
      </c>
      <c r="J1" s="1" t="s">
        <v>78</v>
      </c>
      <c r="K1" s="1" t="s">
        <v>79</v>
      </c>
      <c r="L1" s="1" t="s">
        <v>80</v>
      </c>
      <c r="M1" s="1" t="s">
        <v>81</v>
      </c>
      <c r="N1" s="1" t="s">
        <v>82</v>
      </c>
      <c r="O1" s="1" t="s">
        <v>58</v>
      </c>
      <c r="P1" s="1" t="s">
        <v>59</v>
      </c>
    </row>
    <row r="2" spans="1:16" ht="29" x14ac:dyDescent="0.35">
      <c r="A2" s="26" t="s">
        <v>83</v>
      </c>
      <c r="B2" s="26" t="s">
        <v>84</v>
      </c>
      <c r="C2" s="5"/>
      <c r="D2" s="5">
        <f>'1'!B10</f>
        <v>40068</v>
      </c>
      <c r="E2" s="5" t="s">
        <v>116</v>
      </c>
      <c r="F2" s="5"/>
      <c r="G2" s="5"/>
      <c r="H2" s="5" t="s">
        <v>86</v>
      </c>
      <c r="I2" s="5"/>
      <c r="J2" s="5"/>
      <c r="K2" s="5"/>
      <c r="L2" s="5"/>
      <c r="M2" s="5"/>
      <c r="N2" s="5"/>
      <c r="O2" s="6" t="s">
        <v>67</v>
      </c>
      <c r="P2" s="6"/>
    </row>
    <row r="3" spans="1:16" x14ac:dyDescent="0.35">
      <c r="A3" s="27" t="str">
        <f>DEC2HEX(B3)</f>
        <v>9C84</v>
      </c>
      <c r="B3" s="27">
        <f>$D$2+C3</f>
        <v>40068</v>
      </c>
      <c r="C3" s="7">
        <v>0</v>
      </c>
      <c r="D3" s="7"/>
      <c r="E3" s="7" t="s">
        <v>87</v>
      </c>
      <c r="F3" s="7">
        <v>213</v>
      </c>
      <c r="G3" s="7"/>
      <c r="H3" s="7" t="s">
        <v>88</v>
      </c>
      <c r="I3" s="7"/>
      <c r="J3" s="7"/>
      <c r="K3" s="7"/>
      <c r="L3" s="7"/>
      <c r="M3" s="7" t="s">
        <v>89</v>
      </c>
      <c r="N3" s="7" t="s">
        <v>90</v>
      </c>
      <c r="O3" s="8" t="s">
        <v>91</v>
      </c>
      <c r="P3" s="8" t="s">
        <v>92</v>
      </c>
    </row>
    <row r="4" spans="1:16" x14ac:dyDescent="0.35">
      <c r="A4" s="27" t="str">
        <f t="shared" ref="A4:A66" si="0">DEC2HEX(B4)</f>
        <v>9C85</v>
      </c>
      <c r="B4" s="27">
        <f t="shared" ref="B4:B66" si="1">$D$2+C4</f>
        <v>40069</v>
      </c>
      <c r="C4" s="7">
        <v>1</v>
      </c>
      <c r="D4" s="7"/>
      <c r="E4" s="7" t="s">
        <v>93</v>
      </c>
      <c r="F4" s="25">
        <f>B66+1-B4</f>
        <v>124</v>
      </c>
      <c r="G4" s="7"/>
      <c r="H4" s="7" t="s">
        <v>88</v>
      </c>
      <c r="I4" s="7"/>
      <c r="J4" s="7"/>
      <c r="K4" s="7"/>
      <c r="L4" s="7"/>
      <c r="M4" s="7" t="s">
        <v>89</v>
      </c>
      <c r="N4" s="7" t="s">
        <v>90</v>
      </c>
      <c r="O4" s="8" t="s">
        <v>94</v>
      </c>
      <c r="P4" s="8" t="s">
        <v>95</v>
      </c>
    </row>
    <row r="5" spans="1:16" x14ac:dyDescent="0.35">
      <c r="A5" s="27" t="str">
        <f t="shared" si="0"/>
        <v>9C86</v>
      </c>
      <c r="B5" s="27">
        <f t="shared" si="1"/>
        <v>40070</v>
      </c>
      <c r="C5" s="7">
        <v>2</v>
      </c>
      <c r="D5" s="7"/>
      <c r="E5" s="7" t="s">
        <v>117</v>
      </c>
      <c r="F5" s="7"/>
      <c r="G5" s="7"/>
      <c r="H5" s="7" t="s">
        <v>118</v>
      </c>
      <c r="I5" s="7"/>
      <c r="J5" s="7"/>
      <c r="K5" s="7" t="s">
        <v>117</v>
      </c>
      <c r="L5" s="7"/>
      <c r="M5" s="7" t="s">
        <v>89</v>
      </c>
      <c r="N5" s="7"/>
      <c r="O5" s="8" t="s">
        <v>119</v>
      </c>
      <c r="P5" s="33" t="s">
        <v>294</v>
      </c>
    </row>
    <row r="6" spans="1:16" x14ac:dyDescent="0.35">
      <c r="A6" s="27" t="str">
        <f t="shared" si="0"/>
        <v>9C88</v>
      </c>
      <c r="B6" s="27">
        <f t="shared" si="1"/>
        <v>40072</v>
      </c>
      <c r="C6" s="7">
        <v>4</v>
      </c>
      <c r="D6" s="7"/>
      <c r="E6" s="7" t="s">
        <v>121</v>
      </c>
      <c r="F6" s="7"/>
      <c r="G6" s="7"/>
      <c r="H6" s="7" t="s">
        <v>118</v>
      </c>
      <c r="I6" s="7"/>
      <c r="J6" s="7"/>
      <c r="K6" s="7" t="s">
        <v>117</v>
      </c>
      <c r="L6" s="7"/>
      <c r="M6" s="7" t="s">
        <v>89</v>
      </c>
      <c r="N6" s="7"/>
      <c r="O6" s="8" t="s">
        <v>122</v>
      </c>
      <c r="P6" s="8" t="s">
        <v>123</v>
      </c>
    </row>
    <row r="7" spans="1:16" x14ac:dyDescent="0.35">
      <c r="A7" s="27" t="str">
        <f t="shared" si="0"/>
        <v>9C8A</v>
      </c>
      <c r="B7" s="27">
        <f t="shared" si="1"/>
        <v>40074</v>
      </c>
      <c r="C7" s="7">
        <v>6</v>
      </c>
      <c r="D7" s="7"/>
      <c r="E7" s="7" t="s">
        <v>124</v>
      </c>
      <c r="F7" s="7"/>
      <c r="G7" s="7"/>
      <c r="H7" s="7" t="s">
        <v>118</v>
      </c>
      <c r="I7" s="7"/>
      <c r="J7" s="7"/>
      <c r="K7" s="7" t="s">
        <v>117</v>
      </c>
      <c r="L7" s="7"/>
      <c r="M7" s="7" t="s">
        <v>89</v>
      </c>
      <c r="N7" s="7"/>
      <c r="O7" s="8" t="s">
        <v>126</v>
      </c>
      <c r="P7" s="8" t="s">
        <v>127</v>
      </c>
    </row>
    <row r="8" spans="1:16" x14ac:dyDescent="0.35">
      <c r="A8" s="27" t="str">
        <f t="shared" si="0"/>
        <v>9C8C</v>
      </c>
      <c r="B8" s="27">
        <f t="shared" si="1"/>
        <v>40076</v>
      </c>
      <c r="C8" s="7">
        <v>8</v>
      </c>
      <c r="D8" s="7"/>
      <c r="E8" s="7" t="s">
        <v>128</v>
      </c>
      <c r="F8" s="7"/>
      <c r="G8" s="7"/>
      <c r="H8" s="7" t="s">
        <v>118</v>
      </c>
      <c r="I8" s="7"/>
      <c r="J8" s="7"/>
      <c r="K8" s="7" t="s">
        <v>117</v>
      </c>
      <c r="L8" s="7"/>
      <c r="M8" s="7" t="s">
        <v>89</v>
      </c>
      <c r="N8" s="7"/>
      <c r="O8" s="8" t="s">
        <v>129</v>
      </c>
      <c r="P8" s="8" t="s">
        <v>130</v>
      </c>
    </row>
    <row r="9" spans="1:16" x14ac:dyDescent="0.35">
      <c r="A9" s="27" t="str">
        <f t="shared" si="0"/>
        <v>9C8E</v>
      </c>
      <c r="B9" s="27">
        <f t="shared" si="1"/>
        <v>40078</v>
      </c>
      <c r="C9" s="7">
        <v>10</v>
      </c>
      <c r="D9" s="7"/>
      <c r="E9" s="7" t="s">
        <v>131</v>
      </c>
      <c r="F9" s="7"/>
      <c r="G9" s="7"/>
      <c r="H9" s="7" t="s">
        <v>118</v>
      </c>
      <c r="I9" s="7"/>
      <c r="J9" s="7"/>
      <c r="K9" s="7" t="s">
        <v>132</v>
      </c>
      <c r="L9" s="7"/>
      <c r="M9" s="7" t="s">
        <v>89</v>
      </c>
      <c r="N9" s="7"/>
      <c r="O9" s="8" t="s">
        <v>133</v>
      </c>
      <c r="P9" s="8" t="s">
        <v>134</v>
      </c>
    </row>
    <row r="10" spans="1:16" x14ac:dyDescent="0.35">
      <c r="A10" s="27" t="str">
        <f t="shared" si="0"/>
        <v>9C90</v>
      </c>
      <c r="B10" s="27">
        <f t="shared" si="1"/>
        <v>40080</v>
      </c>
      <c r="C10" s="7">
        <v>12</v>
      </c>
      <c r="D10" s="7"/>
      <c r="E10" s="7" t="s">
        <v>135</v>
      </c>
      <c r="F10" s="7"/>
      <c r="G10" s="7"/>
      <c r="H10" s="7" t="s">
        <v>118</v>
      </c>
      <c r="I10" s="7"/>
      <c r="J10" s="7"/>
      <c r="K10" s="7" t="s">
        <v>132</v>
      </c>
      <c r="L10" s="7"/>
      <c r="M10" s="7" t="s">
        <v>89</v>
      </c>
      <c r="N10" s="7"/>
      <c r="O10" s="8" t="s">
        <v>136</v>
      </c>
      <c r="P10" s="8" t="s">
        <v>136</v>
      </c>
    </row>
    <row r="11" spans="1:16" x14ac:dyDescent="0.35">
      <c r="A11" s="27" t="str">
        <f t="shared" si="0"/>
        <v>9C92</v>
      </c>
      <c r="B11" s="27">
        <f t="shared" si="1"/>
        <v>40082</v>
      </c>
      <c r="C11" s="7">
        <v>14</v>
      </c>
      <c r="D11" s="7"/>
      <c r="E11" s="7" t="s">
        <v>137</v>
      </c>
      <c r="F11" s="7"/>
      <c r="G11" s="7"/>
      <c r="H11" s="7" t="s">
        <v>118</v>
      </c>
      <c r="I11" s="7"/>
      <c r="J11" s="7"/>
      <c r="K11" s="7" t="s">
        <v>132</v>
      </c>
      <c r="L11" s="7"/>
      <c r="M11" s="7" t="s">
        <v>89</v>
      </c>
      <c r="N11" s="7"/>
      <c r="O11" s="8" t="s">
        <v>138</v>
      </c>
      <c r="P11" s="8" t="s">
        <v>138</v>
      </c>
    </row>
    <row r="12" spans="1:16" x14ac:dyDescent="0.35">
      <c r="A12" s="27" t="str">
        <f t="shared" si="0"/>
        <v>9C94</v>
      </c>
      <c r="B12" s="27">
        <f t="shared" si="1"/>
        <v>40084</v>
      </c>
      <c r="C12" s="7">
        <v>16</v>
      </c>
      <c r="D12" s="7"/>
      <c r="E12" s="7" t="s">
        <v>139</v>
      </c>
      <c r="F12" s="7"/>
      <c r="G12" s="7"/>
      <c r="H12" s="7" t="s">
        <v>118</v>
      </c>
      <c r="I12" s="7"/>
      <c r="J12" s="7"/>
      <c r="K12" s="7" t="s">
        <v>132</v>
      </c>
      <c r="L12" s="7"/>
      <c r="M12" s="7" t="s">
        <v>89</v>
      </c>
      <c r="N12" s="7"/>
      <c r="O12" s="8" t="s">
        <v>140</v>
      </c>
      <c r="P12" s="8" t="s">
        <v>140</v>
      </c>
    </row>
    <row r="13" spans="1:16" x14ac:dyDescent="0.35">
      <c r="A13" s="27" t="str">
        <f t="shared" si="0"/>
        <v>9C96</v>
      </c>
      <c r="B13" s="27">
        <f t="shared" si="1"/>
        <v>40086</v>
      </c>
      <c r="C13" s="7">
        <v>18</v>
      </c>
      <c r="D13" s="7"/>
      <c r="E13" s="7" t="s">
        <v>141</v>
      </c>
      <c r="F13" s="7"/>
      <c r="G13" s="7"/>
      <c r="H13" s="7" t="s">
        <v>118</v>
      </c>
      <c r="I13" s="7"/>
      <c r="J13" s="7"/>
      <c r="K13" s="7" t="s">
        <v>132</v>
      </c>
      <c r="L13" s="7"/>
      <c r="M13" s="7" t="s">
        <v>89</v>
      </c>
      <c r="N13" s="7"/>
      <c r="O13" s="8" t="s">
        <v>142</v>
      </c>
      <c r="P13" s="8" t="s">
        <v>143</v>
      </c>
    </row>
    <row r="14" spans="1:16" x14ac:dyDescent="0.35">
      <c r="A14" s="27" t="str">
        <f t="shared" si="0"/>
        <v>9C98</v>
      </c>
      <c r="B14" s="27">
        <f t="shared" si="1"/>
        <v>40088</v>
      </c>
      <c r="C14" s="7">
        <v>20</v>
      </c>
      <c r="D14" s="7"/>
      <c r="E14" s="7" t="s">
        <v>144</v>
      </c>
      <c r="F14" s="7"/>
      <c r="G14" s="7"/>
      <c r="H14" s="7" t="s">
        <v>118</v>
      </c>
      <c r="I14" s="7"/>
      <c r="J14" s="7"/>
      <c r="K14" s="7" t="s">
        <v>132</v>
      </c>
      <c r="L14" s="7"/>
      <c r="M14" s="7" t="s">
        <v>89</v>
      </c>
      <c r="N14" s="7"/>
      <c r="O14" s="8" t="s">
        <v>145</v>
      </c>
      <c r="P14" s="8" t="s">
        <v>145</v>
      </c>
    </row>
    <row r="15" spans="1:16" x14ac:dyDescent="0.35">
      <c r="A15" s="27" t="str">
        <f t="shared" si="0"/>
        <v>9C9A</v>
      </c>
      <c r="B15" s="27">
        <f t="shared" si="1"/>
        <v>40090</v>
      </c>
      <c r="C15" s="7">
        <v>22</v>
      </c>
      <c r="D15" s="7"/>
      <c r="E15" s="7" t="s">
        <v>146</v>
      </c>
      <c r="F15" s="7"/>
      <c r="G15" s="7"/>
      <c r="H15" s="7" t="s">
        <v>118</v>
      </c>
      <c r="I15" s="7"/>
      <c r="J15" s="7"/>
      <c r="K15" s="7" t="s">
        <v>132</v>
      </c>
      <c r="L15" s="7"/>
      <c r="M15" s="7" t="s">
        <v>89</v>
      </c>
      <c r="N15" s="7"/>
      <c r="O15" s="8" t="s">
        <v>147</v>
      </c>
      <c r="P15" s="8" t="s">
        <v>147</v>
      </c>
    </row>
    <row r="16" spans="1:16" x14ac:dyDescent="0.35">
      <c r="A16" s="27" t="str">
        <f t="shared" si="0"/>
        <v>9C9C</v>
      </c>
      <c r="B16" s="27">
        <f t="shared" si="1"/>
        <v>40092</v>
      </c>
      <c r="C16" s="7">
        <v>24</v>
      </c>
      <c r="D16" s="7"/>
      <c r="E16" s="7" t="s">
        <v>148</v>
      </c>
      <c r="F16" s="7"/>
      <c r="G16" s="7"/>
      <c r="H16" s="7" t="s">
        <v>118</v>
      </c>
      <c r="I16" s="7"/>
      <c r="J16" s="7"/>
      <c r="K16" s="7" t="s">
        <v>132</v>
      </c>
      <c r="L16" s="7"/>
      <c r="M16" s="7" t="s">
        <v>89</v>
      </c>
      <c r="N16" s="7"/>
      <c r="O16" s="8" t="s">
        <v>149</v>
      </c>
      <c r="P16" s="8" t="s">
        <v>149</v>
      </c>
    </row>
    <row r="17" spans="1:16" x14ac:dyDescent="0.35">
      <c r="A17" s="27" t="str">
        <f t="shared" si="0"/>
        <v>9C9E</v>
      </c>
      <c r="B17" s="27">
        <f t="shared" si="1"/>
        <v>40094</v>
      </c>
      <c r="C17" s="7">
        <v>26</v>
      </c>
      <c r="D17" s="7"/>
      <c r="E17" s="7" t="s">
        <v>150</v>
      </c>
      <c r="F17" s="7"/>
      <c r="G17" s="7"/>
      <c r="H17" s="7" t="s">
        <v>118</v>
      </c>
      <c r="I17" s="7"/>
      <c r="J17" s="7"/>
      <c r="K17" s="7" t="s">
        <v>150</v>
      </c>
      <c r="L17" s="7"/>
      <c r="M17" s="7" t="s">
        <v>89</v>
      </c>
      <c r="N17" s="7"/>
      <c r="O17" s="8" t="s">
        <v>150</v>
      </c>
      <c r="P17" s="8" t="s">
        <v>151</v>
      </c>
    </row>
    <row r="18" spans="1:16" x14ac:dyDescent="0.35">
      <c r="A18" s="27" t="str">
        <f t="shared" si="0"/>
        <v>9CA0</v>
      </c>
      <c r="B18" s="27">
        <f t="shared" si="1"/>
        <v>40096</v>
      </c>
      <c r="C18" s="7">
        <v>28</v>
      </c>
      <c r="D18" s="7"/>
      <c r="E18" s="7" t="s">
        <v>152</v>
      </c>
      <c r="F18" s="7"/>
      <c r="G18" s="7"/>
      <c r="H18" s="7" t="s">
        <v>118</v>
      </c>
      <c r="I18" s="7"/>
      <c r="J18" s="7"/>
      <c r="K18" s="7" t="s">
        <v>152</v>
      </c>
      <c r="L18" s="7"/>
      <c r="M18" s="7" t="s">
        <v>89</v>
      </c>
      <c r="N18" s="7"/>
      <c r="O18" s="8" t="s">
        <v>153</v>
      </c>
      <c r="P18" s="8" t="s">
        <v>154</v>
      </c>
    </row>
    <row r="19" spans="1:16" x14ac:dyDescent="0.35">
      <c r="A19" s="27" t="str">
        <f t="shared" si="0"/>
        <v>9CA2</v>
      </c>
      <c r="B19" s="27">
        <f t="shared" si="1"/>
        <v>40098</v>
      </c>
      <c r="C19" s="7">
        <v>30</v>
      </c>
      <c r="D19" s="7"/>
      <c r="E19" s="7" t="s">
        <v>155</v>
      </c>
      <c r="F19" s="7"/>
      <c r="G19" s="7"/>
      <c r="H19" s="7" t="s">
        <v>118</v>
      </c>
      <c r="I19" s="7"/>
      <c r="J19" s="7"/>
      <c r="K19" s="7" t="s">
        <v>152</v>
      </c>
      <c r="L19" s="7"/>
      <c r="M19" s="7"/>
      <c r="N19" s="7"/>
      <c r="O19" s="8" t="s">
        <v>156</v>
      </c>
      <c r="P19" s="8"/>
    </row>
    <row r="20" spans="1:16" x14ac:dyDescent="0.35">
      <c r="A20" s="27" t="str">
        <f t="shared" si="0"/>
        <v>9CA4</v>
      </c>
      <c r="B20" s="27">
        <f t="shared" si="1"/>
        <v>40100</v>
      </c>
      <c r="C20" s="7">
        <v>32</v>
      </c>
      <c r="D20" s="7"/>
      <c r="E20" s="7" t="s">
        <v>157</v>
      </c>
      <c r="F20" s="7"/>
      <c r="G20" s="7"/>
      <c r="H20" s="7" t="s">
        <v>118</v>
      </c>
      <c r="I20" s="7"/>
      <c r="J20" s="7"/>
      <c r="K20" s="7" t="s">
        <v>152</v>
      </c>
      <c r="L20" s="7"/>
      <c r="M20" s="7"/>
      <c r="N20" s="7"/>
      <c r="O20" s="8" t="s">
        <v>158</v>
      </c>
      <c r="P20" s="8"/>
    </row>
    <row r="21" spans="1:16" x14ac:dyDescent="0.35">
      <c r="A21" s="27" t="str">
        <f t="shared" si="0"/>
        <v>9CA6</v>
      </c>
      <c r="B21" s="27">
        <f t="shared" si="1"/>
        <v>40102</v>
      </c>
      <c r="C21" s="7">
        <v>34</v>
      </c>
      <c r="D21" s="7"/>
      <c r="E21" s="7" t="s">
        <v>159</v>
      </c>
      <c r="F21" s="7"/>
      <c r="G21" s="7"/>
      <c r="H21" s="7" t="s">
        <v>118</v>
      </c>
      <c r="I21" s="7"/>
      <c r="J21" s="7"/>
      <c r="K21" s="7" t="s">
        <v>152</v>
      </c>
      <c r="L21" s="7"/>
      <c r="M21" s="7"/>
      <c r="N21" s="7"/>
      <c r="O21" s="8" t="s">
        <v>160</v>
      </c>
      <c r="P21" s="8"/>
    </row>
    <row r="22" spans="1:16" x14ac:dyDescent="0.35">
      <c r="A22" s="27" t="str">
        <f t="shared" si="0"/>
        <v>9CA8</v>
      </c>
      <c r="B22" s="27">
        <f t="shared" si="1"/>
        <v>40104</v>
      </c>
      <c r="C22" s="7">
        <v>36</v>
      </c>
      <c r="D22" s="7"/>
      <c r="E22" s="7" t="s">
        <v>161</v>
      </c>
      <c r="F22" s="7"/>
      <c r="G22" s="7"/>
      <c r="H22" s="7" t="s">
        <v>118</v>
      </c>
      <c r="I22" s="7"/>
      <c r="J22" s="7"/>
      <c r="K22" s="7" t="s">
        <v>161</v>
      </c>
      <c r="L22" s="7"/>
      <c r="M22" s="7"/>
      <c r="N22" s="7"/>
      <c r="O22" s="8" t="s">
        <v>161</v>
      </c>
      <c r="P22" s="8" t="s">
        <v>162</v>
      </c>
    </row>
    <row r="23" spans="1:16" x14ac:dyDescent="0.35">
      <c r="A23" s="27" t="str">
        <f t="shared" si="0"/>
        <v>9CAA</v>
      </c>
      <c r="B23" s="27">
        <f t="shared" si="1"/>
        <v>40106</v>
      </c>
      <c r="C23" s="7">
        <v>38</v>
      </c>
      <c r="D23" s="7"/>
      <c r="E23" s="7" t="s">
        <v>163</v>
      </c>
      <c r="F23" s="7"/>
      <c r="G23" s="7"/>
      <c r="H23" s="7" t="s">
        <v>118</v>
      </c>
      <c r="I23" s="7"/>
      <c r="J23" s="7"/>
      <c r="K23" s="7" t="s">
        <v>161</v>
      </c>
      <c r="L23" s="7"/>
      <c r="M23" s="7"/>
      <c r="N23" s="7"/>
      <c r="O23" s="8" t="s">
        <v>164</v>
      </c>
      <c r="P23" s="8"/>
    </row>
    <row r="24" spans="1:16" x14ac:dyDescent="0.35">
      <c r="A24" s="27" t="str">
        <f t="shared" si="0"/>
        <v>9CAC</v>
      </c>
      <c r="B24" s="27">
        <f t="shared" si="1"/>
        <v>40108</v>
      </c>
      <c r="C24" s="7">
        <v>40</v>
      </c>
      <c r="D24" s="7"/>
      <c r="E24" s="7" t="s">
        <v>165</v>
      </c>
      <c r="F24" s="7"/>
      <c r="G24" s="7"/>
      <c r="H24" s="7" t="s">
        <v>118</v>
      </c>
      <c r="I24" s="7"/>
      <c r="J24" s="7"/>
      <c r="K24" s="7" t="s">
        <v>161</v>
      </c>
      <c r="L24" s="7"/>
      <c r="M24" s="7"/>
      <c r="N24" s="7"/>
      <c r="O24" s="8" t="s">
        <v>166</v>
      </c>
      <c r="P24" s="8"/>
    </row>
    <row r="25" spans="1:16" x14ac:dyDescent="0.35">
      <c r="A25" s="27" t="str">
        <f t="shared" si="0"/>
        <v>9CAE</v>
      </c>
      <c r="B25" s="27">
        <f t="shared" si="1"/>
        <v>40110</v>
      </c>
      <c r="C25" s="7">
        <v>42</v>
      </c>
      <c r="D25" s="7"/>
      <c r="E25" s="7" t="s">
        <v>167</v>
      </c>
      <c r="F25" s="7"/>
      <c r="G25" s="7"/>
      <c r="H25" s="7" t="s">
        <v>118</v>
      </c>
      <c r="I25" s="7"/>
      <c r="J25" s="7"/>
      <c r="K25" s="7" t="s">
        <v>161</v>
      </c>
      <c r="L25" s="7"/>
      <c r="M25" s="7"/>
      <c r="N25" s="7"/>
      <c r="O25" s="8" t="s">
        <v>168</v>
      </c>
      <c r="P25" s="8"/>
    </row>
    <row r="26" spans="1:16" x14ac:dyDescent="0.35">
      <c r="A26" s="27" t="str">
        <f t="shared" si="0"/>
        <v>9CB0</v>
      </c>
      <c r="B26" s="27">
        <f t="shared" si="1"/>
        <v>40112</v>
      </c>
      <c r="C26" s="7">
        <v>44</v>
      </c>
      <c r="D26" s="7"/>
      <c r="E26" s="7" t="s">
        <v>169</v>
      </c>
      <c r="F26" s="7"/>
      <c r="G26" s="7"/>
      <c r="H26" s="7" t="s">
        <v>118</v>
      </c>
      <c r="I26" s="7"/>
      <c r="J26" s="7"/>
      <c r="K26" s="7" t="s">
        <v>170</v>
      </c>
      <c r="L26" s="7"/>
      <c r="M26" s="7"/>
      <c r="N26" s="7"/>
      <c r="O26" s="8" t="s">
        <v>169</v>
      </c>
      <c r="P26" s="8" t="s">
        <v>171</v>
      </c>
    </row>
    <row r="27" spans="1:16" x14ac:dyDescent="0.35">
      <c r="A27" s="27" t="str">
        <f t="shared" si="0"/>
        <v>9CB2</v>
      </c>
      <c r="B27" s="27">
        <f t="shared" si="1"/>
        <v>40114</v>
      </c>
      <c r="C27" s="7">
        <v>46</v>
      </c>
      <c r="D27" s="7"/>
      <c r="E27" s="7" t="s">
        <v>172</v>
      </c>
      <c r="F27" s="7"/>
      <c r="G27" s="7"/>
      <c r="H27" s="7" t="s">
        <v>118</v>
      </c>
      <c r="I27" s="7"/>
      <c r="J27" s="7"/>
      <c r="K27" s="7" t="s">
        <v>170</v>
      </c>
      <c r="L27" s="7"/>
      <c r="M27" s="7"/>
      <c r="N27" s="7"/>
      <c r="O27" s="8" t="s">
        <v>173</v>
      </c>
      <c r="P27" s="8"/>
    </row>
    <row r="28" spans="1:16" x14ac:dyDescent="0.35">
      <c r="A28" s="27" t="str">
        <f t="shared" si="0"/>
        <v>9CB4</v>
      </c>
      <c r="B28" s="27">
        <f t="shared" si="1"/>
        <v>40116</v>
      </c>
      <c r="C28" s="7">
        <v>48</v>
      </c>
      <c r="D28" s="7"/>
      <c r="E28" s="7" t="s">
        <v>174</v>
      </c>
      <c r="F28" s="7"/>
      <c r="G28" s="7"/>
      <c r="H28" s="7" t="s">
        <v>118</v>
      </c>
      <c r="I28" s="7"/>
      <c r="J28" s="7"/>
      <c r="K28" s="7" t="s">
        <v>170</v>
      </c>
      <c r="L28" s="7"/>
      <c r="M28" s="7"/>
      <c r="N28" s="7"/>
      <c r="O28" s="8" t="s">
        <v>175</v>
      </c>
      <c r="P28" s="8"/>
    </row>
    <row r="29" spans="1:16" x14ac:dyDescent="0.35">
      <c r="A29" s="27" t="str">
        <f t="shared" si="0"/>
        <v>9CB6</v>
      </c>
      <c r="B29" s="27">
        <f t="shared" si="1"/>
        <v>40118</v>
      </c>
      <c r="C29" s="7">
        <v>50</v>
      </c>
      <c r="D29" s="7"/>
      <c r="E29" s="7" t="s">
        <v>176</v>
      </c>
      <c r="F29" s="7"/>
      <c r="G29" s="7"/>
      <c r="H29" s="7" t="s">
        <v>118</v>
      </c>
      <c r="I29" s="7"/>
      <c r="J29" s="7"/>
      <c r="K29" s="7" t="s">
        <v>170</v>
      </c>
      <c r="L29" s="7"/>
      <c r="M29" s="7"/>
      <c r="N29" s="7"/>
      <c r="O29" s="8" t="s">
        <v>177</v>
      </c>
      <c r="P29" s="8"/>
    </row>
    <row r="30" spans="1:16" x14ac:dyDescent="0.35">
      <c r="A30" s="27" t="str">
        <f t="shared" si="0"/>
        <v>9CB8</v>
      </c>
      <c r="B30" s="27">
        <f t="shared" si="1"/>
        <v>40120</v>
      </c>
      <c r="C30" s="7">
        <v>52</v>
      </c>
      <c r="D30" s="7"/>
      <c r="E30" s="7" t="s">
        <v>178</v>
      </c>
      <c r="F30" s="7"/>
      <c r="G30" s="7"/>
      <c r="H30" s="7" t="s">
        <v>118</v>
      </c>
      <c r="I30" s="7"/>
      <c r="J30" s="7"/>
      <c r="K30" s="7" t="s">
        <v>178</v>
      </c>
      <c r="L30" s="7"/>
      <c r="M30" s="7"/>
      <c r="N30" s="7"/>
      <c r="O30" s="8" t="s">
        <v>178</v>
      </c>
      <c r="P30" s="8" t="s">
        <v>179</v>
      </c>
    </row>
    <row r="31" spans="1:16" x14ac:dyDescent="0.35">
      <c r="A31" s="27" t="str">
        <f t="shared" si="0"/>
        <v>9CBA</v>
      </c>
      <c r="B31" s="27">
        <f t="shared" si="1"/>
        <v>40122</v>
      </c>
      <c r="C31" s="7">
        <v>54</v>
      </c>
      <c r="D31" s="7"/>
      <c r="E31" s="7" t="s">
        <v>180</v>
      </c>
      <c r="F31" s="7"/>
      <c r="G31" s="7"/>
      <c r="H31" s="7" t="s">
        <v>118</v>
      </c>
      <c r="I31" s="7"/>
      <c r="J31" s="7"/>
      <c r="K31" s="7" t="s">
        <v>178</v>
      </c>
      <c r="L31" s="7"/>
      <c r="M31" s="7"/>
      <c r="N31" s="7"/>
      <c r="O31" s="8" t="s">
        <v>181</v>
      </c>
      <c r="P31" s="8"/>
    </row>
    <row r="32" spans="1:16" x14ac:dyDescent="0.35">
      <c r="A32" s="27" t="str">
        <f t="shared" si="0"/>
        <v>9CBC</v>
      </c>
      <c r="B32" s="27">
        <f t="shared" si="1"/>
        <v>40124</v>
      </c>
      <c r="C32" s="7">
        <v>56</v>
      </c>
      <c r="D32" s="7"/>
      <c r="E32" s="7" t="s">
        <v>182</v>
      </c>
      <c r="F32" s="7"/>
      <c r="G32" s="7"/>
      <c r="H32" s="7" t="s">
        <v>118</v>
      </c>
      <c r="I32" s="7"/>
      <c r="J32" s="7"/>
      <c r="K32" s="7" t="s">
        <v>178</v>
      </c>
      <c r="L32" s="7"/>
      <c r="M32" s="7"/>
      <c r="N32" s="7"/>
      <c r="O32" s="8" t="s">
        <v>183</v>
      </c>
      <c r="P32" s="8"/>
    </row>
    <row r="33" spans="1:16" x14ac:dyDescent="0.35">
      <c r="A33" s="27" t="str">
        <f t="shared" si="0"/>
        <v>9CBE</v>
      </c>
      <c r="B33" s="27">
        <f t="shared" si="1"/>
        <v>40126</v>
      </c>
      <c r="C33" s="7">
        <v>58</v>
      </c>
      <c r="D33" s="7"/>
      <c r="E33" s="7" t="s">
        <v>184</v>
      </c>
      <c r="F33" s="7"/>
      <c r="G33" s="7"/>
      <c r="H33" s="7" t="s">
        <v>118</v>
      </c>
      <c r="I33" s="7"/>
      <c r="J33" s="7"/>
      <c r="K33" s="7" t="s">
        <v>178</v>
      </c>
      <c r="L33" s="7"/>
      <c r="M33" s="7"/>
      <c r="N33" s="7"/>
      <c r="O33" s="8" t="s">
        <v>185</v>
      </c>
      <c r="P33" s="8"/>
    </row>
    <row r="34" spans="1:16" x14ac:dyDescent="0.35">
      <c r="A34" s="27" t="str">
        <f t="shared" si="0"/>
        <v>9CC0</v>
      </c>
      <c r="B34" s="27">
        <f t="shared" si="1"/>
        <v>40128</v>
      </c>
      <c r="C34" s="7">
        <v>60</v>
      </c>
      <c r="D34" s="7"/>
      <c r="E34" s="7" t="s">
        <v>186</v>
      </c>
      <c r="F34" s="7"/>
      <c r="G34" s="7"/>
      <c r="H34" s="7" t="s">
        <v>118</v>
      </c>
      <c r="I34" s="7"/>
      <c r="J34" s="7"/>
      <c r="K34" s="7" t="s">
        <v>187</v>
      </c>
      <c r="L34" s="7"/>
      <c r="M34" s="7" t="s">
        <v>89</v>
      </c>
      <c r="N34" s="7"/>
      <c r="O34" s="8" t="s">
        <v>188</v>
      </c>
      <c r="P34" s="8" t="s">
        <v>189</v>
      </c>
    </row>
    <row r="35" spans="1:16" ht="29" x14ac:dyDescent="0.35">
      <c r="A35" s="27" t="str">
        <f t="shared" si="0"/>
        <v>9CC2</v>
      </c>
      <c r="B35" s="27">
        <f t="shared" si="1"/>
        <v>40130</v>
      </c>
      <c r="C35" s="7">
        <v>62</v>
      </c>
      <c r="D35" s="7"/>
      <c r="E35" s="7" t="s">
        <v>190</v>
      </c>
      <c r="F35" s="7"/>
      <c r="G35" s="7"/>
      <c r="H35" s="7" t="s">
        <v>118</v>
      </c>
      <c r="I35" s="7"/>
      <c r="J35" s="7"/>
      <c r="K35" s="7" t="s">
        <v>187</v>
      </c>
      <c r="L35" s="7"/>
      <c r="M35" s="7"/>
      <c r="N35" s="7"/>
      <c r="O35" s="8" t="s">
        <v>191</v>
      </c>
      <c r="P35" s="8"/>
    </row>
    <row r="36" spans="1:16" ht="29" x14ac:dyDescent="0.35">
      <c r="A36" s="27" t="str">
        <f t="shared" si="0"/>
        <v>9CC4</v>
      </c>
      <c r="B36" s="27">
        <f t="shared" si="1"/>
        <v>40132</v>
      </c>
      <c r="C36" s="7">
        <v>64</v>
      </c>
      <c r="D36" s="7"/>
      <c r="E36" s="7" t="s">
        <v>192</v>
      </c>
      <c r="F36" s="7"/>
      <c r="G36" s="7"/>
      <c r="H36" s="7" t="s">
        <v>118</v>
      </c>
      <c r="I36" s="7"/>
      <c r="J36" s="7"/>
      <c r="K36" s="7" t="s">
        <v>187</v>
      </c>
      <c r="L36" s="7"/>
      <c r="M36" s="7"/>
      <c r="N36" s="7"/>
      <c r="O36" s="8" t="s">
        <v>193</v>
      </c>
      <c r="P36" s="8"/>
    </row>
    <row r="37" spans="1:16" ht="29" x14ac:dyDescent="0.35">
      <c r="A37" s="27" t="str">
        <f t="shared" si="0"/>
        <v>9CC6</v>
      </c>
      <c r="B37" s="27">
        <f t="shared" si="1"/>
        <v>40134</v>
      </c>
      <c r="C37" s="7">
        <v>66</v>
      </c>
      <c r="D37" s="7"/>
      <c r="E37" s="7" t="s">
        <v>194</v>
      </c>
      <c r="F37" s="7"/>
      <c r="G37" s="7"/>
      <c r="H37" s="7" t="s">
        <v>118</v>
      </c>
      <c r="I37" s="7"/>
      <c r="J37" s="7"/>
      <c r="K37" s="7" t="s">
        <v>187</v>
      </c>
      <c r="L37" s="7"/>
      <c r="M37" s="7"/>
      <c r="N37" s="7"/>
      <c r="O37" s="8" t="s">
        <v>195</v>
      </c>
      <c r="P37" s="8"/>
    </row>
    <row r="38" spans="1:16" x14ac:dyDescent="0.35">
      <c r="A38" s="27" t="str">
        <f t="shared" si="0"/>
        <v>9CC8</v>
      </c>
      <c r="B38" s="27">
        <f t="shared" si="1"/>
        <v>40136</v>
      </c>
      <c r="C38" s="7">
        <v>68</v>
      </c>
      <c r="D38" s="7"/>
      <c r="E38" s="7" t="s">
        <v>196</v>
      </c>
      <c r="F38" s="7"/>
      <c r="G38" s="7"/>
      <c r="H38" s="7" t="s">
        <v>118</v>
      </c>
      <c r="I38" s="7"/>
      <c r="J38" s="7"/>
      <c r="K38" s="7" t="s">
        <v>187</v>
      </c>
      <c r="L38" s="7"/>
      <c r="M38" s="7" t="s">
        <v>89</v>
      </c>
      <c r="N38" s="7"/>
      <c r="O38" s="8" t="s">
        <v>197</v>
      </c>
      <c r="P38" s="8" t="s">
        <v>198</v>
      </c>
    </row>
    <row r="39" spans="1:16" ht="29" x14ac:dyDescent="0.35">
      <c r="A39" s="27" t="str">
        <f t="shared" si="0"/>
        <v>9CCA</v>
      </c>
      <c r="B39" s="27">
        <f t="shared" si="1"/>
        <v>40138</v>
      </c>
      <c r="C39" s="7">
        <v>70</v>
      </c>
      <c r="D39" s="7"/>
      <c r="E39" s="7" t="s">
        <v>199</v>
      </c>
      <c r="F39" s="7"/>
      <c r="G39" s="7"/>
      <c r="H39" s="7" t="s">
        <v>118</v>
      </c>
      <c r="I39" s="7"/>
      <c r="J39" s="7"/>
      <c r="K39" s="7" t="s">
        <v>187</v>
      </c>
      <c r="L39" s="7"/>
      <c r="M39" s="7"/>
      <c r="N39" s="7"/>
      <c r="O39" s="8" t="s">
        <v>200</v>
      </c>
      <c r="P39" s="8"/>
    </row>
    <row r="40" spans="1:16" ht="29" x14ac:dyDescent="0.35">
      <c r="A40" s="27" t="str">
        <f t="shared" si="0"/>
        <v>9CCC</v>
      </c>
      <c r="B40" s="27">
        <f t="shared" si="1"/>
        <v>40140</v>
      </c>
      <c r="C40" s="7">
        <v>72</v>
      </c>
      <c r="D40" s="7"/>
      <c r="E40" s="7" t="s">
        <v>201</v>
      </c>
      <c r="F40" s="7"/>
      <c r="G40" s="7"/>
      <c r="H40" s="7" t="s">
        <v>118</v>
      </c>
      <c r="I40" s="7"/>
      <c r="J40" s="7"/>
      <c r="K40" s="7" t="s">
        <v>187</v>
      </c>
      <c r="L40" s="7"/>
      <c r="M40" s="7"/>
      <c r="N40" s="7"/>
      <c r="O40" s="8" t="s">
        <v>202</v>
      </c>
      <c r="P40" s="8"/>
    </row>
    <row r="41" spans="1:16" ht="29" x14ac:dyDescent="0.35">
      <c r="A41" s="27" t="str">
        <f t="shared" si="0"/>
        <v>9CCE</v>
      </c>
      <c r="B41" s="27">
        <f t="shared" si="1"/>
        <v>40142</v>
      </c>
      <c r="C41" s="7">
        <v>74</v>
      </c>
      <c r="D41" s="7"/>
      <c r="E41" s="7" t="s">
        <v>203</v>
      </c>
      <c r="F41" s="7"/>
      <c r="G41" s="7"/>
      <c r="H41" s="7" t="s">
        <v>118</v>
      </c>
      <c r="I41" s="7"/>
      <c r="J41" s="7"/>
      <c r="K41" s="7" t="s">
        <v>187</v>
      </c>
      <c r="L41" s="7"/>
      <c r="M41" s="7"/>
      <c r="N41" s="7"/>
      <c r="O41" s="8" t="s">
        <v>204</v>
      </c>
      <c r="P41" s="8"/>
    </row>
    <row r="42" spans="1:16" s="31" customFormat="1" x14ac:dyDescent="0.35">
      <c r="A42" s="28" t="str">
        <f t="shared" si="0"/>
        <v>9CD0</v>
      </c>
      <c r="B42" s="28">
        <f t="shared" si="1"/>
        <v>40144</v>
      </c>
      <c r="C42" s="29">
        <v>76</v>
      </c>
      <c r="D42" s="29"/>
      <c r="E42" s="29" t="s">
        <v>205</v>
      </c>
      <c r="F42" s="36" t="s">
        <v>125</v>
      </c>
      <c r="G42" s="29"/>
      <c r="H42" s="29" t="s">
        <v>118</v>
      </c>
      <c r="I42" s="29"/>
      <c r="J42" s="29"/>
      <c r="K42" s="29" t="s">
        <v>206</v>
      </c>
      <c r="L42" s="29"/>
      <c r="M42" s="29"/>
      <c r="N42" s="29"/>
      <c r="O42" s="30" t="s">
        <v>207</v>
      </c>
      <c r="P42" s="30" t="s">
        <v>208</v>
      </c>
    </row>
    <row r="43" spans="1:16" x14ac:dyDescent="0.35">
      <c r="A43" s="27" t="str">
        <f t="shared" si="0"/>
        <v>9CD2</v>
      </c>
      <c r="B43" s="27">
        <f t="shared" si="1"/>
        <v>40146</v>
      </c>
      <c r="C43" s="7">
        <v>78</v>
      </c>
      <c r="D43" s="7"/>
      <c r="E43" s="7" t="s">
        <v>209</v>
      </c>
      <c r="F43" s="36" t="s">
        <v>125</v>
      </c>
      <c r="G43" s="7"/>
      <c r="H43" s="7" t="s">
        <v>118</v>
      </c>
      <c r="I43" s="7"/>
      <c r="J43" s="7"/>
      <c r="K43" s="7" t="s">
        <v>206</v>
      </c>
      <c r="L43" s="7"/>
      <c r="M43" s="7"/>
      <c r="N43" s="7"/>
      <c r="O43" s="8" t="s">
        <v>210</v>
      </c>
      <c r="P43" s="8"/>
    </row>
    <row r="44" spans="1:16" x14ac:dyDescent="0.35">
      <c r="A44" s="27" t="str">
        <f t="shared" si="0"/>
        <v>9CD4</v>
      </c>
      <c r="B44" s="27">
        <f t="shared" si="1"/>
        <v>40148</v>
      </c>
      <c r="C44" s="7">
        <v>80</v>
      </c>
      <c r="D44" s="7"/>
      <c r="E44" s="7" t="s">
        <v>211</v>
      </c>
      <c r="F44" s="36" t="s">
        <v>125</v>
      </c>
      <c r="G44" s="7"/>
      <c r="H44" s="7" t="s">
        <v>118</v>
      </c>
      <c r="I44" s="7"/>
      <c r="J44" s="7"/>
      <c r="K44" s="7" t="s">
        <v>206</v>
      </c>
      <c r="L44" s="7"/>
      <c r="M44" s="7"/>
      <c r="N44" s="7"/>
      <c r="O44" s="8" t="s">
        <v>212</v>
      </c>
      <c r="P44" s="8"/>
    </row>
    <row r="45" spans="1:16" x14ac:dyDescent="0.35">
      <c r="A45" s="27" t="str">
        <f t="shared" si="0"/>
        <v>9CD6</v>
      </c>
      <c r="B45" s="27">
        <f t="shared" si="1"/>
        <v>40150</v>
      </c>
      <c r="C45" s="7">
        <v>82</v>
      </c>
      <c r="D45" s="7"/>
      <c r="E45" s="7" t="s">
        <v>213</v>
      </c>
      <c r="F45" s="36" t="s">
        <v>125</v>
      </c>
      <c r="G45" s="7"/>
      <c r="H45" s="7" t="s">
        <v>118</v>
      </c>
      <c r="I45" s="7"/>
      <c r="J45" s="7"/>
      <c r="K45" s="7" t="s">
        <v>206</v>
      </c>
      <c r="L45" s="7"/>
      <c r="M45" s="7"/>
      <c r="N45" s="7"/>
      <c r="O45" s="8" t="s">
        <v>214</v>
      </c>
      <c r="P45" s="8"/>
    </row>
    <row r="46" spans="1:16" x14ac:dyDescent="0.35">
      <c r="A46" s="27" t="str">
        <f t="shared" si="0"/>
        <v>9CD8</v>
      </c>
      <c r="B46" s="27">
        <f t="shared" si="1"/>
        <v>40152</v>
      </c>
      <c r="C46" s="7">
        <v>84</v>
      </c>
      <c r="D46" s="7"/>
      <c r="E46" s="7" t="s">
        <v>215</v>
      </c>
      <c r="F46" s="36" t="s">
        <v>125</v>
      </c>
      <c r="G46" s="7"/>
      <c r="H46" s="7" t="s">
        <v>118</v>
      </c>
      <c r="I46" s="7"/>
      <c r="J46" s="7"/>
      <c r="K46" s="7" t="s">
        <v>206</v>
      </c>
      <c r="L46" s="7"/>
      <c r="M46" s="7"/>
      <c r="N46" s="7"/>
      <c r="O46" s="8" t="s">
        <v>216</v>
      </c>
      <c r="P46" s="8" t="s">
        <v>217</v>
      </c>
    </row>
    <row r="47" spans="1:16" x14ac:dyDescent="0.35">
      <c r="A47" s="27" t="str">
        <f t="shared" si="0"/>
        <v>9CDA</v>
      </c>
      <c r="B47" s="27">
        <f t="shared" si="1"/>
        <v>40154</v>
      </c>
      <c r="C47" s="7">
        <v>86</v>
      </c>
      <c r="D47" s="7"/>
      <c r="E47" s="7" t="s">
        <v>218</v>
      </c>
      <c r="F47" s="36" t="s">
        <v>125</v>
      </c>
      <c r="G47" s="7"/>
      <c r="H47" s="7" t="s">
        <v>118</v>
      </c>
      <c r="I47" s="7"/>
      <c r="J47" s="7"/>
      <c r="K47" s="7" t="s">
        <v>206</v>
      </c>
      <c r="L47" s="7"/>
      <c r="M47" s="7"/>
      <c r="N47" s="7"/>
      <c r="O47" s="8" t="s">
        <v>219</v>
      </c>
      <c r="P47" s="8"/>
    </row>
    <row r="48" spans="1:16" x14ac:dyDescent="0.35">
      <c r="A48" s="27" t="str">
        <f t="shared" si="0"/>
        <v>9CDC</v>
      </c>
      <c r="B48" s="27">
        <f t="shared" si="1"/>
        <v>40156</v>
      </c>
      <c r="C48" s="7">
        <v>88</v>
      </c>
      <c r="D48" s="7"/>
      <c r="E48" s="7" t="s">
        <v>220</v>
      </c>
      <c r="F48" s="36" t="s">
        <v>125</v>
      </c>
      <c r="G48" s="7"/>
      <c r="H48" s="7" t="s">
        <v>118</v>
      </c>
      <c r="I48" s="7"/>
      <c r="J48" s="7"/>
      <c r="K48" s="7" t="s">
        <v>206</v>
      </c>
      <c r="L48" s="7"/>
      <c r="M48" s="7"/>
      <c r="N48" s="7"/>
      <c r="O48" s="8" t="s">
        <v>221</v>
      </c>
      <c r="P48" s="8"/>
    </row>
    <row r="49" spans="1:16" x14ac:dyDescent="0.35">
      <c r="A49" s="27" t="str">
        <f t="shared" si="0"/>
        <v>9CDE</v>
      </c>
      <c r="B49" s="27">
        <f t="shared" si="1"/>
        <v>40158</v>
      </c>
      <c r="C49" s="7">
        <v>90</v>
      </c>
      <c r="D49" s="7"/>
      <c r="E49" s="7" t="s">
        <v>222</v>
      </c>
      <c r="F49" s="36" t="s">
        <v>125</v>
      </c>
      <c r="G49" s="7"/>
      <c r="H49" s="7" t="s">
        <v>118</v>
      </c>
      <c r="I49" s="7"/>
      <c r="J49" s="7"/>
      <c r="K49" s="7" t="s">
        <v>206</v>
      </c>
      <c r="L49" s="7"/>
      <c r="M49" s="7"/>
      <c r="N49" s="7"/>
      <c r="O49" s="8" t="s">
        <v>223</v>
      </c>
      <c r="P49" s="8"/>
    </row>
    <row r="50" spans="1:16" x14ac:dyDescent="0.35">
      <c r="A50" s="27" t="str">
        <f t="shared" si="0"/>
        <v>9CE0</v>
      </c>
      <c r="B50" s="27">
        <f t="shared" si="1"/>
        <v>40160</v>
      </c>
      <c r="C50" s="7">
        <v>92</v>
      </c>
      <c r="D50" s="7"/>
      <c r="E50" s="7" t="s">
        <v>224</v>
      </c>
      <c r="F50" s="32"/>
      <c r="G50" s="7"/>
      <c r="H50" s="7" t="s">
        <v>118</v>
      </c>
      <c r="I50" s="7"/>
      <c r="J50" s="7"/>
      <c r="K50" s="7" t="s">
        <v>225</v>
      </c>
      <c r="L50" s="7"/>
      <c r="M50" s="7"/>
      <c r="N50" s="7"/>
      <c r="O50" s="8" t="s">
        <v>226</v>
      </c>
      <c r="P50" s="8" t="s">
        <v>227</v>
      </c>
    </row>
    <row r="51" spans="1:16" ht="29" x14ac:dyDescent="0.35">
      <c r="A51" s="27" t="str">
        <f t="shared" si="0"/>
        <v>9CE2</v>
      </c>
      <c r="B51" s="27">
        <f t="shared" si="1"/>
        <v>40162</v>
      </c>
      <c r="C51" s="7">
        <v>94</v>
      </c>
      <c r="D51" s="7"/>
      <c r="E51" s="7" t="s">
        <v>228</v>
      </c>
      <c r="F51" s="36" t="s">
        <v>125</v>
      </c>
      <c r="G51" s="7"/>
      <c r="H51" s="7" t="s">
        <v>118</v>
      </c>
      <c r="I51" s="7"/>
      <c r="J51" s="7"/>
      <c r="K51" s="7" t="s">
        <v>225</v>
      </c>
      <c r="L51" s="7"/>
      <c r="M51" s="7"/>
      <c r="N51" s="7"/>
      <c r="O51" s="8" t="s">
        <v>229</v>
      </c>
      <c r="P51" s="8"/>
    </row>
    <row r="52" spans="1:16" ht="29" x14ac:dyDescent="0.35">
      <c r="A52" s="27" t="str">
        <f t="shared" si="0"/>
        <v>9CE4</v>
      </c>
      <c r="B52" s="27">
        <f t="shared" si="1"/>
        <v>40164</v>
      </c>
      <c r="C52" s="7">
        <v>96</v>
      </c>
      <c r="D52" s="7"/>
      <c r="E52" s="7" t="s">
        <v>230</v>
      </c>
      <c r="F52" s="36" t="s">
        <v>125</v>
      </c>
      <c r="G52" s="7"/>
      <c r="H52" s="7" t="s">
        <v>118</v>
      </c>
      <c r="I52" s="7"/>
      <c r="J52" s="7"/>
      <c r="K52" s="7" t="s">
        <v>225</v>
      </c>
      <c r="L52" s="7"/>
      <c r="M52" s="7"/>
      <c r="N52" s="7"/>
      <c r="O52" s="8" t="s">
        <v>231</v>
      </c>
      <c r="P52" s="8"/>
    </row>
    <row r="53" spans="1:16" ht="29" x14ac:dyDescent="0.35">
      <c r="A53" s="27" t="str">
        <f t="shared" si="0"/>
        <v>9CE6</v>
      </c>
      <c r="B53" s="27">
        <f t="shared" si="1"/>
        <v>40166</v>
      </c>
      <c r="C53" s="7">
        <v>98</v>
      </c>
      <c r="D53" s="7"/>
      <c r="E53" s="7" t="s">
        <v>232</v>
      </c>
      <c r="F53" s="36" t="s">
        <v>125</v>
      </c>
      <c r="G53" s="7"/>
      <c r="H53" s="7" t="s">
        <v>118</v>
      </c>
      <c r="I53" s="7"/>
      <c r="J53" s="7"/>
      <c r="K53" s="7" t="s">
        <v>225</v>
      </c>
      <c r="L53" s="7"/>
      <c r="M53" s="7"/>
      <c r="N53" s="7"/>
      <c r="O53" s="8" t="s">
        <v>233</v>
      </c>
      <c r="P53" s="8"/>
    </row>
    <row r="54" spans="1:16" x14ac:dyDescent="0.35">
      <c r="A54" s="27" t="str">
        <f t="shared" si="0"/>
        <v>9CE8</v>
      </c>
      <c r="B54" s="27">
        <f t="shared" si="1"/>
        <v>40168</v>
      </c>
      <c r="C54" s="7">
        <v>100</v>
      </c>
      <c r="D54" s="7"/>
      <c r="E54" s="7" t="s">
        <v>234</v>
      </c>
      <c r="F54" s="7"/>
      <c r="G54" s="7"/>
      <c r="H54" s="7" t="s">
        <v>118</v>
      </c>
      <c r="I54" s="7"/>
      <c r="J54" s="7"/>
      <c r="K54" s="7" t="s">
        <v>225</v>
      </c>
      <c r="L54" s="7"/>
      <c r="M54" s="7"/>
      <c r="N54" s="7"/>
      <c r="O54" s="8" t="s">
        <v>235</v>
      </c>
      <c r="P54" s="8" t="s">
        <v>236</v>
      </c>
    </row>
    <row r="55" spans="1:16" ht="29" x14ac:dyDescent="0.35">
      <c r="A55" s="27" t="str">
        <f t="shared" si="0"/>
        <v>9CEA</v>
      </c>
      <c r="B55" s="27">
        <f t="shared" si="1"/>
        <v>40170</v>
      </c>
      <c r="C55" s="7">
        <v>102</v>
      </c>
      <c r="D55" s="7"/>
      <c r="E55" s="7" t="s">
        <v>237</v>
      </c>
      <c r="F55" s="36" t="s">
        <v>125</v>
      </c>
      <c r="G55" s="7"/>
      <c r="H55" s="7" t="s">
        <v>118</v>
      </c>
      <c r="I55" s="7"/>
      <c r="J55" s="7"/>
      <c r="K55" s="7" t="s">
        <v>225</v>
      </c>
      <c r="L55" s="7"/>
      <c r="M55" s="7"/>
      <c r="N55" s="7"/>
      <c r="O55" s="8" t="s">
        <v>238</v>
      </c>
      <c r="P55" s="8"/>
    </row>
    <row r="56" spans="1:16" ht="29" x14ac:dyDescent="0.35">
      <c r="A56" s="27" t="str">
        <f t="shared" si="0"/>
        <v>9CEC</v>
      </c>
      <c r="B56" s="27">
        <f t="shared" si="1"/>
        <v>40172</v>
      </c>
      <c r="C56" s="7">
        <v>104</v>
      </c>
      <c r="D56" s="7"/>
      <c r="E56" s="7" t="s">
        <v>239</v>
      </c>
      <c r="F56" s="36" t="s">
        <v>125</v>
      </c>
      <c r="G56" s="7"/>
      <c r="H56" s="7" t="s">
        <v>118</v>
      </c>
      <c r="I56" s="7"/>
      <c r="J56" s="7"/>
      <c r="K56" s="7" t="s">
        <v>225</v>
      </c>
      <c r="L56" s="7"/>
      <c r="M56" s="7"/>
      <c r="N56" s="7"/>
      <c r="O56" s="8" t="s">
        <v>240</v>
      </c>
      <c r="P56" s="8"/>
    </row>
    <row r="57" spans="1:16" ht="29" x14ac:dyDescent="0.35">
      <c r="A57" s="27" t="str">
        <f t="shared" si="0"/>
        <v>9CEE</v>
      </c>
      <c r="B57" s="27">
        <f t="shared" si="1"/>
        <v>40174</v>
      </c>
      <c r="C57" s="7">
        <v>106</v>
      </c>
      <c r="D57" s="7"/>
      <c r="E57" s="7" t="s">
        <v>241</v>
      </c>
      <c r="F57" s="36" t="s">
        <v>125</v>
      </c>
      <c r="G57" s="7"/>
      <c r="H57" s="7" t="s">
        <v>118</v>
      </c>
      <c r="I57" s="7"/>
      <c r="J57" s="7"/>
      <c r="K57" s="7" t="s">
        <v>225</v>
      </c>
      <c r="L57" s="7"/>
      <c r="M57" s="7"/>
      <c r="N57" s="7"/>
      <c r="O57" s="8" t="s">
        <v>242</v>
      </c>
      <c r="P57" s="8"/>
    </row>
    <row r="58" spans="1:16" x14ac:dyDescent="0.35">
      <c r="A58" s="27" t="str">
        <f t="shared" si="0"/>
        <v>9CF0</v>
      </c>
      <c r="B58" s="27">
        <f t="shared" si="1"/>
        <v>40176</v>
      </c>
      <c r="C58" s="7">
        <v>108</v>
      </c>
      <c r="D58" s="7"/>
      <c r="E58" s="7" t="s">
        <v>243</v>
      </c>
      <c r="F58" s="7"/>
      <c r="G58" s="7"/>
      <c r="H58" s="7" t="s">
        <v>118</v>
      </c>
      <c r="I58" s="7"/>
      <c r="J58" s="7"/>
      <c r="K58" s="7" t="s">
        <v>225</v>
      </c>
      <c r="L58" s="7"/>
      <c r="M58" s="7"/>
      <c r="N58" s="7"/>
      <c r="O58" s="8" t="s">
        <v>244</v>
      </c>
      <c r="P58" s="8" t="s">
        <v>245</v>
      </c>
    </row>
    <row r="59" spans="1:16" ht="29" x14ac:dyDescent="0.35">
      <c r="A59" s="27" t="str">
        <f t="shared" si="0"/>
        <v>9CF2</v>
      </c>
      <c r="B59" s="27">
        <f t="shared" si="1"/>
        <v>40178</v>
      </c>
      <c r="C59" s="7">
        <v>110</v>
      </c>
      <c r="D59" s="7"/>
      <c r="E59" s="7" t="s">
        <v>246</v>
      </c>
      <c r="F59" s="36" t="s">
        <v>125</v>
      </c>
      <c r="G59" s="7"/>
      <c r="H59" s="7" t="s">
        <v>118</v>
      </c>
      <c r="I59" s="7"/>
      <c r="J59" s="7"/>
      <c r="K59" s="7" t="s">
        <v>225</v>
      </c>
      <c r="L59" s="7"/>
      <c r="M59" s="7"/>
      <c r="N59" s="7"/>
      <c r="O59" s="8" t="s">
        <v>247</v>
      </c>
      <c r="P59" s="8"/>
    </row>
    <row r="60" spans="1:16" ht="29" x14ac:dyDescent="0.35">
      <c r="A60" s="27" t="str">
        <f t="shared" si="0"/>
        <v>9CF4</v>
      </c>
      <c r="B60" s="27">
        <f t="shared" si="1"/>
        <v>40180</v>
      </c>
      <c r="C60" s="7">
        <v>112</v>
      </c>
      <c r="D60" s="7"/>
      <c r="E60" s="7" t="s">
        <v>248</v>
      </c>
      <c r="F60" s="36" t="s">
        <v>125</v>
      </c>
      <c r="G60" s="7"/>
      <c r="H60" s="7" t="s">
        <v>118</v>
      </c>
      <c r="I60" s="7"/>
      <c r="J60" s="7"/>
      <c r="K60" s="7" t="s">
        <v>225</v>
      </c>
      <c r="L60" s="7"/>
      <c r="M60" s="7"/>
      <c r="N60" s="7"/>
      <c r="O60" s="8" t="s">
        <v>249</v>
      </c>
      <c r="P60" s="8"/>
    </row>
    <row r="61" spans="1:16" ht="29" x14ac:dyDescent="0.35">
      <c r="A61" s="27" t="str">
        <f t="shared" si="0"/>
        <v>9CF6</v>
      </c>
      <c r="B61" s="27">
        <f t="shared" si="1"/>
        <v>40182</v>
      </c>
      <c r="C61" s="7">
        <v>114</v>
      </c>
      <c r="D61" s="7"/>
      <c r="E61" s="7" t="s">
        <v>250</v>
      </c>
      <c r="F61" s="36" t="s">
        <v>125</v>
      </c>
      <c r="G61" s="7"/>
      <c r="H61" s="7" t="s">
        <v>118</v>
      </c>
      <c r="I61" s="7"/>
      <c r="J61" s="7"/>
      <c r="K61" s="7" t="s">
        <v>225</v>
      </c>
      <c r="L61" s="7"/>
      <c r="M61" s="7"/>
      <c r="N61" s="7"/>
      <c r="O61" s="8" t="s">
        <v>251</v>
      </c>
      <c r="P61" s="8"/>
    </row>
    <row r="62" spans="1:16" x14ac:dyDescent="0.35">
      <c r="A62" s="27" t="str">
        <f t="shared" si="0"/>
        <v>9CF8</v>
      </c>
      <c r="B62" s="27">
        <f t="shared" si="1"/>
        <v>40184</v>
      </c>
      <c r="C62" s="7">
        <v>116</v>
      </c>
      <c r="D62" s="7"/>
      <c r="E62" s="7" t="s">
        <v>252</v>
      </c>
      <c r="F62" s="7"/>
      <c r="G62" s="7"/>
      <c r="H62" s="7" t="s">
        <v>118</v>
      </c>
      <c r="I62" s="7"/>
      <c r="J62" s="7"/>
      <c r="K62" s="7" t="s">
        <v>225</v>
      </c>
      <c r="L62" s="7"/>
      <c r="M62" s="7"/>
      <c r="N62" s="7"/>
      <c r="O62" s="8" t="s">
        <v>253</v>
      </c>
      <c r="P62" s="8" t="s">
        <v>254</v>
      </c>
    </row>
    <row r="63" spans="1:16" ht="29" x14ac:dyDescent="0.35">
      <c r="A63" s="27" t="str">
        <f t="shared" si="0"/>
        <v>9CFA</v>
      </c>
      <c r="B63" s="27">
        <f t="shared" si="1"/>
        <v>40186</v>
      </c>
      <c r="C63" s="7">
        <v>118</v>
      </c>
      <c r="D63" s="7"/>
      <c r="E63" s="7" t="s">
        <v>255</v>
      </c>
      <c r="F63" s="36" t="s">
        <v>125</v>
      </c>
      <c r="G63" s="7"/>
      <c r="H63" s="7" t="s">
        <v>118</v>
      </c>
      <c r="I63" s="7"/>
      <c r="J63" s="7"/>
      <c r="K63" s="7" t="s">
        <v>225</v>
      </c>
      <c r="L63" s="7"/>
      <c r="M63" s="7"/>
      <c r="N63" s="7"/>
      <c r="O63" s="8" t="s">
        <v>256</v>
      </c>
      <c r="P63" s="8"/>
    </row>
    <row r="64" spans="1:16" ht="29" x14ac:dyDescent="0.35">
      <c r="A64" s="27" t="str">
        <f t="shared" si="0"/>
        <v>9CFC</v>
      </c>
      <c r="B64" s="27">
        <f t="shared" si="1"/>
        <v>40188</v>
      </c>
      <c r="C64" s="7">
        <v>120</v>
      </c>
      <c r="D64" s="7"/>
      <c r="E64" s="7" t="s">
        <v>257</v>
      </c>
      <c r="F64" s="36" t="s">
        <v>125</v>
      </c>
      <c r="G64" s="7"/>
      <c r="H64" s="7" t="s">
        <v>118</v>
      </c>
      <c r="I64" s="7"/>
      <c r="J64" s="7"/>
      <c r="K64" s="7" t="s">
        <v>225</v>
      </c>
      <c r="L64" s="7"/>
      <c r="M64" s="7"/>
      <c r="N64" s="7"/>
      <c r="O64" s="8" t="s">
        <v>258</v>
      </c>
      <c r="P64" s="8"/>
    </row>
    <row r="65" spans="1:16" ht="29" x14ac:dyDescent="0.35">
      <c r="A65" s="27" t="str">
        <f t="shared" si="0"/>
        <v>9CFE</v>
      </c>
      <c r="B65" s="27">
        <f t="shared" si="1"/>
        <v>40190</v>
      </c>
      <c r="C65" s="7">
        <v>122</v>
      </c>
      <c r="D65" s="7"/>
      <c r="E65" s="7" t="s">
        <v>259</v>
      </c>
      <c r="F65" s="36" t="s">
        <v>125</v>
      </c>
      <c r="G65" s="7"/>
      <c r="H65" s="7" t="s">
        <v>118</v>
      </c>
      <c r="I65" s="7"/>
      <c r="J65" s="7"/>
      <c r="K65" s="7" t="s">
        <v>225</v>
      </c>
      <c r="L65" s="7"/>
      <c r="M65" s="7"/>
      <c r="N65" s="7"/>
      <c r="O65" s="8" t="s">
        <v>260</v>
      </c>
      <c r="P65" s="8"/>
    </row>
    <row r="66" spans="1:16" x14ac:dyDescent="0.35">
      <c r="A66" s="27" t="str">
        <f t="shared" si="0"/>
        <v>9D00</v>
      </c>
      <c r="B66" s="27">
        <f t="shared" si="1"/>
        <v>40192</v>
      </c>
      <c r="C66" s="7">
        <v>124</v>
      </c>
      <c r="D66" s="7"/>
      <c r="E66" s="7" t="s">
        <v>261</v>
      </c>
      <c r="F66" s="7"/>
      <c r="G66" s="7"/>
      <c r="H66" s="7" t="s">
        <v>262</v>
      </c>
      <c r="I66" s="7"/>
      <c r="J66" s="7"/>
      <c r="K66" s="7"/>
      <c r="L66" s="7"/>
      <c r="M66" s="7" t="s">
        <v>89</v>
      </c>
      <c r="N66" s="7"/>
      <c r="O66" s="8" t="s">
        <v>263</v>
      </c>
      <c r="P66" s="8" t="s">
        <v>264</v>
      </c>
    </row>
    <row r="67" spans="1:16" x14ac:dyDescent="0.35">
      <c r="C67" s="9"/>
      <c r="D67" s="9"/>
      <c r="E67" s="9" t="s">
        <v>265</v>
      </c>
      <c r="F67" s="9">
        <v>2</v>
      </c>
      <c r="G67" s="9"/>
      <c r="H67" s="9"/>
      <c r="I67" s="9"/>
      <c r="J67" s="9"/>
      <c r="K67" s="9"/>
      <c r="L67" s="9"/>
      <c r="M67" s="9"/>
      <c r="N67" s="9"/>
      <c r="O67" s="10"/>
      <c r="P67" s="10"/>
    </row>
    <row r="68" spans="1:16" x14ac:dyDescent="0.35">
      <c r="C68" s="9"/>
      <c r="D68" s="9"/>
      <c r="E68" s="9" t="s">
        <v>266</v>
      </c>
      <c r="F68" s="9">
        <v>3</v>
      </c>
      <c r="G68" s="9"/>
      <c r="H68" s="9"/>
      <c r="I68" s="9"/>
      <c r="J68" s="9"/>
      <c r="K68" s="9"/>
      <c r="L68" s="9"/>
      <c r="M68" s="9"/>
      <c r="N68" s="9"/>
      <c r="O68" s="10"/>
      <c r="P68" s="10"/>
    </row>
    <row r="69" spans="1:16" x14ac:dyDescent="0.35">
      <c r="C69" s="9"/>
      <c r="D69" s="9"/>
      <c r="E69" s="9" t="s">
        <v>267</v>
      </c>
      <c r="F69" s="9">
        <v>4</v>
      </c>
      <c r="G69" s="9"/>
      <c r="H69" s="9"/>
      <c r="I69" s="9"/>
      <c r="J69" s="9"/>
      <c r="K69" s="9"/>
      <c r="L69" s="9"/>
      <c r="M69" s="9"/>
      <c r="N69" s="9"/>
      <c r="O69" s="10"/>
      <c r="P69" s="10"/>
    </row>
    <row r="70" spans="1:16" x14ac:dyDescent="0.35">
      <c r="C70" s="9"/>
      <c r="D70" s="9"/>
      <c r="E70" s="9" t="s">
        <v>268</v>
      </c>
      <c r="F70" s="9">
        <v>5</v>
      </c>
      <c r="G70" s="9"/>
      <c r="H70" s="9"/>
      <c r="I70" s="9"/>
      <c r="J70" s="9"/>
      <c r="K70" s="9"/>
      <c r="L70" s="9"/>
      <c r="M70" s="9"/>
      <c r="N70" s="9"/>
      <c r="O70" s="10"/>
      <c r="P70" s="10"/>
    </row>
    <row r="71" spans="1:16" x14ac:dyDescent="0.35">
      <c r="C71" s="9"/>
      <c r="D71" s="9"/>
      <c r="E71" s="9" t="s">
        <v>269</v>
      </c>
      <c r="F71" s="9">
        <v>6</v>
      </c>
      <c r="G71" s="9"/>
      <c r="H71" s="9"/>
      <c r="I71" s="9"/>
      <c r="J71" s="9"/>
      <c r="K71" s="9"/>
      <c r="L71" s="9"/>
      <c r="M71" s="9"/>
      <c r="N71" s="9"/>
      <c r="O71" s="10"/>
      <c r="P71" s="10"/>
    </row>
    <row r="72" spans="1:16" x14ac:dyDescent="0.35">
      <c r="C72" s="9"/>
      <c r="D72" s="9"/>
      <c r="E72" s="9" t="s">
        <v>270</v>
      </c>
      <c r="F72" s="9">
        <v>7</v>
      </c>
      <c r="G72" s="9"/>
      <c r="H72" s="9"/>
      <c r="I72" s="9"/>
      <c r="J72" s="9"/>
      <c r="K72" s="9"/>
      <c r="L72" s="9"/>
      <c r="M72" s="9"/>
      <c r="N72" s="9"/>
      <c r="O72" s="10"/>
      <c r="P72" s="10"/>
    </row>
    <row r="73" spans="1:16" x14ac:dyDescent="0.35">
      <c r="C73" s="9"/>
      <c r="D73" s="9"/>
      <c r="E73" s="9" t="s">
        <v>271</v>
      </c>
      <c r="F73" s="9">
        <v>8</v>
      </c>
      <c r="G73" s="9"/>
      <c r="H73" s="9"/>
      <c r="I73" s="9"/>
      <c r="J73" s="9"/>
      <c r="K73" s="9"/>
      <c r="L73" s="9"/>
      <c r="M73" s="9"/>
      <c r="N73" s="9"/>
      <c r="O73" s="10"/>
      <c r="P73" s="10"/>
    </row>
    <row r="74" spans="1:16" x14ac:dyDescent="0.35">
      <c r="C74" s="9"/>
      <c r="D74" s="9"/>
      <c r="E74" s="9" t="s">
        <v>272</v>
      </c>
      <c r="F74" s="9">
        <v>9</v>
      </c>
      <c r="G74" s="9"/>
      <c r="H74" s="9"/>
      <c r="I74" s="9"/>
      <c r="J74" s="9"/>
      <c r="K74" s="9"/>
      <c r="L74" s="9"/>
      <c r="M74" s="9"/>
      <c r="N74" s="9"/>
      <c r="O74" s="10"/>
      <c r="P74" s="10"/>
    </row>
    <row r="75" spans="1:16" x14ac:dyDescent="0.35">
      <c r="C75" s="9"/>
      <c r="D75" s="9"/>
      <c r="E75" s="9" t="s">
        <v>273</v>
      </c>
      <c r="F75" s="9">
        <v>10</v>
      </c>
      <c r="G75" s="9"/>
      <c r="H75" s="9"/>
      <c r="I75" s="9"/>
      <c r="J75" s="9"/>
      <c r="K75" s="9"/>
      <c r="L75" s="9"/>
      <c r="M75" s="9"/>
      <c r="N75" s="9"/>
      <c r="O75" s="10"/>
      <c r="P75" s="10"/>
    </row>
    <row r="76" spans="1:16" x14ac:dyDescent="0.35">
      <c r="C76" s="9"/>
      <c r="D76" s="9"/>
      <c r="E76" s="9" t="s">
        <v>274</v>
      </c>
      <c r="F76" s="9">
        <v>11</v>
      </c>
      <c r="G76" s="9"/>
      <c r="H76" s="9"/>
      <c r="I76" s="9"/>
      <c r="J76" s="9"/>
      <c r="K76" s="9"/>
      <c r="L76" s="9"/>
      <c r="M76" s="9"/>
      <c r="N76" s="9"/>
      <c r="O76" s="10"/>
      <c r="P76" s="10"/>
    </row>
    <row r="77" spans="1:16" x14ac:dyDescent="0.35">
      <c r="C77" s="9"/>
      <c r="D77" s="9"/>
      <c r="E77" s="9" t="s">
        <v>275</v>
      </c>
      <c r="F77" s="9">
        <v>12</v>
      </c>
      <c r="G77" s="9"/>
      <c r="H77" s="9"/>
      <c r="I77" s="9"/>
      <c r="J77" s="9"/>
      <c r="K77" s="9"/>
      <c r="L77" s="9"/>
      <c r="M77" s="9"/>
      <c r="N77" s="9"/>
      <c r="O77" s="10"/>
      <c r="P77" s="10"/>
    </row>
    <row r="78" spans="1:16" x14ac:dyDescent="0.35">
      <c r="C78" s="9"/>
      <c r="D78" s="9"/>
      <c r="E78" s="9" t="s">
        <v>276</v>
      </c>
      <c r="F78" s="9">
        <v>13</v>
      </c>
      <c r="G78" s="9"/>
      <c r="H78" s="9"/>
      <c r="I78" s="9"/>
      <c r="J78" s="9"/>
      <c r="K78" s="9"/>
      <c r="L78" s="9"/>
      <c r="M78" s="9"/>
      <c r="N78" s="9"/>
      <c r="O78" s="10"/>
      <c r="P78" s="10"/>
    </row>
    <row r="79" spans="1:16" x14ac:dyDescent="0.35">
      <c r="C79" s="9"/>
      <c r="D79" s="9"/>
      <c r="E79" s="9" t="s">
        <v>277</v>
      </c>
      <c r="F79" s="9">
        <v>14</v>
      </c>
      <c r="G79" s="9"/>
      <c r="H79" s="9"/>
      <c r="I79" s="9"/>
      <c r="J79" s="9"/>
      <c r="K79" s="9"/>
      <c r="L79" s="9"/>
      <c r="M79" s="9"/>
      <c r="N79" s="9"/>
      <c r="O79" s="10"/>
      <c r="P79" s="10"/>
    </row>
    <row r="80" spans="1:16" x14ac:dyDescent="0.35">
      <c r="C80" s="9"/>
      <c r="D80" s="9"/>
      <c r="E80" s="9" t="s">
        <v>278</v>
      </c>
      <c r="F80" s="9">
        <v>15</v>
      </c>
      <c r="G80" s="9"/>
      <c r="H80" s="9"/>
      <c r="I80" s="9"/>
      <c r="J80" s="9"/>
      <c r="K80" s="9"/>
      <c r="L80" s="9"/>
      <c r="M80" s="9"/>
      <c r="N80" s="9"/>
      <c r="O80" s="10"/>
      <c r="P80" s="10"/>
    </row>
    <row r="81" spans="3:16" x14ac:dyDescent="0.35">
      <c r="C81" s="9"/>
      <c r="D81" s="9"/>
      <c r="E81" s="9" t="s">
        <v>279</v>
      </c>
      <c r="F81" s="9">
        <v>16</v>
      </c>
      <c r="G81" s="9"/>
      <c r="H81" s="9"/>
      <c r="I81" s="9"/>
      <c r="J81" s="9"/>
      <c r="K81" s="9"/>
      <c r="L81" s="9"/>
      <c r="M81" s="9"/>
      <c r="N81" s="9"/>
      <c r="O81" s="10"/>
      <c r="P81" s="10"/>
    </row>
    <row r="82" spans="3:16" x14ac:dyDescent="0.35">
      <c r="C82" s="9"/>
      <c r="D82" s="9"/>
      <c r="E82" s="9" t="s">
        <v>280</v>
      </c>
      <c r="F82" s="9">
        <v>17</v>
      </c>
      <c r="G82" s="9"/>
      <c r="H82" s="9"/>
      <c r="I82" s="9"/>
      <c r="J82" s="9"/>
      <c r="K82" s="9"/>
      <c r="L82" s="9"/>
      <c r="M82" s="9"/>
      <c r="N82" s="9"/>
      <c r="O82" s="10"/>
      <c r="P82" s="10"/>
    </row>
    <row r="83" spans="3:16" x14ac:dyDescent="0.35">
      <c r="C83" s="9"/>
      <c r="D83" s="9"/>
      <c r="E83" s="9" t="s">
        <v>281</v>
      </c>
      <c r="F83" s="9">
        <v>18</v>
      </c>
      <c r="G83" s="9"/>
      <c r="H83" s="9"/>
      <c r="I83" s="9"/>
      <c r="J83" s="9"/>
      <c r="K83" s="9"/>
      <c r="L83" s="9"/>
      <c r="M83" s="9"/>
      <c r="N83" s="9"/>
      <c r="O83" s="10"/>
      <c r="P83" s="10"/>
    </row>
    <row r="84" spans="3:16" x14ac:dyDescent="0.35">
      <c r="C84" s="9"/>
      <c r="D84" s="9"/>
      <c r="E84" s="9" t="s">
        <v>282</v>
      </c>
      <c r="F84" s="9">
        <v>19</v>
      </c>
      <c r="G84" s="9"/>
      <c r="H84" s="9"/>
      <c r="I84" s="9"/>
      <c r="J84" s="9"/>
      <c r="K84" s="9"/>
      <c r="L84" s="9"/>
      <c r="M84" s="9"/>
      <c r="N84" s="9"/>
      <c r="O84" s="10"/>
      <c r="P84" s="10"/>
    </row>
    <row r="85" spans="3:16" x14ac:dyDescent="0.35">
      <c r="C85" s="9"/>
      <c r="D85" s="9"/>
      <c r="E85" s="9" t="s">
        <v>283</v>
      </c>
      <c r="F85" s="9">
        <v>20</v>
      </c>
      <c r="G85" s="9"/>
      <c r="H85" s="9"/>
      <c r="I85" s="9"/>
      <c r="J85" s="9"/>
      <c r="K85" s="9"/>
      <c r="L85" s="9"/>
      <c r="M85" s="9"/>
      <c r="N85" s="9"/>
      <c r="O85" s="10"/>
      <c r="P85" s="10"/>
    </row>
    <row r="86" spans="3:16" x14ac:dyDescent="0.35">
      <c r="C86" s="9"/>
      <c r="D86" s="9"/>
      <c r="E86" s="9" t="s">
        <v>284</v>
      </c>
      <c r="F86" s="9">
        <v>21</v>
      </c>
      <c r="G86" s="9"/>
      <c r="H86" s="9"/>
      <c r="I86" s="9"/>
      <c r="J86" s="9"/>
      <c r="K86" s="9"/>
      <c r="L86" s="9"/>
      <c r="M86" s="9"/>
      <c r="N86" s="9"/>
      <c r="O86" s="10"/>
      <c r="P86" s="10"/>
    </row>
    <row r="87" spans="3:16" x14ac:dyDescent="0.35">
      <c r="C87" s="9"/>
      <c r="D87" s="9"/>
      <c r="E87" s="9" t="s">
        <v>285</v>
      </c>
      <c r="F87" s="9">
        <v>22</v>
      </c>
      <c r="G87" s="9"/>
      <c r="H87" s="9"/>
      <c r="I87" s="9"/>
      <c r="J87" s="9"/>
      <c r="K87" s="9"/>
      <c r="L87" s="9"/>
      <c r="M87" s="9"/>
      <c r="N87" s="9"/>
      <c r="O87" s="10"/>
      <c r="P87" s="10"/>
    </row>
    <row r="88" spans="3:16" x14ac:dyDescent="0.35">
      <c r="C88" s="9"/>
      <c r="D88" s="9"/>
      <c r="E88" s="9" t="s">
        <v>286</v>
      </c>
      <c r="F88" s="9">
        <v>23</v>
      </c>
      <c r="G88" s="9"/>
      <c r="H88" s="9"/>
      <c r="I88" s="9"/>
      <c r="J88" s="9"/>
      <c r="K88" s="9"/>
      <c r="L88" s="9"/>
      <c r="M88" s="9"/>
      <c r="N88" s="9"/>
      <c r="O88" s="10"/>
      <c r="P88" s="10"/>
    </row>
    <row r="89" spans="3:16" x14ac:dyDescent="0.35">
      <c r="C89" s="9"/>
      <c r="D89" s="9"/>
      <c r="E89" s="9" t="s">
        <v>287</v>
      </c>
      <c r="F89" s="9">
        <v>24</v>
      </c>
      <c r="G89" s="9"/>
      <c r="H89" s="9"/>
      <c r="I89" s="9"/>
      <c r="J89" s="9"/>
      <c r="K89" s="9"/>
      <c r="L89" s="9"/>
      <c r="M89" s="9"/>
      <c r="N89" s="9"/>
      <c r="O89" s="10"/>
      <c r="P89" s="10"/>
    </row>
    <row r="90" spans="3:16" x14ac:dyDescent="0.35">
      <c r="C90" s="9"/>
      <c r="D90" s="9"/>
      <c r="E90" s="9" t="s">
        <v>288</v>
      </c>
      <c r="F90" s="9">
        <v>25</v>
      </c>
      <c r="G90" s="9"/>
      <c r="H90" s="9"/>
      <c r="I90" s="9"/>
      <c r="J90" s="9"/>
      <c r="K90" s="9"/>
      <c r="L90" s="9"/>
      <c r="M90" s="9"/>
      <c r="N90" s="9"/>
      <c r="O90" s="10"/>
      <c r="P90" s="10"/>
    </row>
    <row r="91" spans="3:16" x14ac:dyDescent="0.35">
      <c r="C91" s="9"/>
      <c r="D91" s="9"/>
      <c r="E91" s="9" t="s">
        <v>289</v>
      </c>
      <c r="F91" s="9">
        <v>26</v>
      </c>
      <c r="G91" s="9"/>
      <c r="H91" s="9"/>
      <c r="I91" s="9"/>
      <c r="J91" s="9"/>
      <c r="K91" s="9"/>
      <c r="L91" s="9"/>
      <c r="M91" s="9"/>
      <c r="N91" s="9"/>
      <c r="O91" s="10"/>
      <c r="P91" s="10"/>
    </row>
    <row r="92" spans="3:16" x14ac:dyDescent="0.35">
      <c r="C92" s="9"/>
      <c r="D92" s="9"/>
      <c r="E92" s="9" t="s">
        <v>290</v>
      </c>
      <c r="F92" s="9">
        <v>27</v>
      </c>
      <c r="G92" s="9"/>
      <c r="H92" s="9"/>
      <c r="I92" s="9"/>
      <c r="J92" s="9"/>
      <c r="K92" s="9"/>
      <c r="L92" s="9"/>
      <c r="M92" s="9"/>
      <c r="N92" s="9"/>
      <c r="O92" s="10"/>
      <c r="P92" s="10"/>
    </row>
    <row r="93" spans="3:16" x14ac:dyDescent="0.35">
      <c r="C93" s="9"/>
      <c r="D93" s="9"/>
      <c r="E93" s="9" t="s">
        <v>291</v>
      </c>
      <c r="F93" s="9">
        <v>28</v>
      </c>
      <c r="G93" s="9"/>
      <c r="H93" s="9"/>
      <c r="I93" s="9"/>
      <c r="J93" s="9"/>
      <c r="K93" s="9"/>
      <c r="L93" s="9"/>
      <c r="M93" s="9"/>
      <c r="N93" s="9"/>
      <c r="O93" s="10"/>
      <c r="P93" s="10"/>
    </row>
    <row r="94" spans="3:16" x14ac:dyDescent="0.35">
      <c r="C94" s="9"/>
      <c r="D94" s="9"/>
      <c r="E94" s="9" t="s">
        <v>292</v>
      </c>
      <c r="F94" s="9">
        <v>29</v>
      </c>
      <c r="G94" s="9"/>
      <c r="H94" s="9"/>
      <c r="I94" s="9"/>
      <c r="J94" s="9"/>
      <c r="K94" s="9"/>
      <c r="L94" s="9"/>
      <c r="M94" s="9"/>
      <c r="N94" s="9"/>
      <c r="O94" s="10"/>
      <c r="P94" s="10"/>
    </row>
    <row r="95" spans="3:16" x14ac:dyDescent="0.35">
      <c r="C95" s="9"/>
      <c r="D95" s="9"/>
      <c r="E95" s="9" t="s">
        <v>293</v>
      </c>
      <c r="F95" s="9">
        <v>30</v>
      </c>
      <c r="G95" s="9"/>
      <c r="H95" s="9"/>
      <c r="I95" s="9"/>
      <c r="J95" s="9"/>
      <c r="K95" s="9"/>
      <c r="L95" s="9"/>
      <c r="M95" s="9"/>
      <c r="N95" s="9"/>
      <c r="O95" s="10"/>
      <c r="P95" s="10"/>
    </row>
  </sheetData>
  <mergeCells count="1">
    <mergeCell ref="A1:B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P95"/>
  <sheetViews>
    <sheetView topLeftCell="B1" workbookViewId="0">
      <selection activeCell="F42" sqref="F42:F49"/>
    </sheetView>
  </sheetViews>
  <sheetFormatPr defaultRowHeight="14.5" x14ac:dyDescent="0.35"/>
  <cols>
    <col min="5" max="5" width="25" customWidth="1"/>
    <col min="6" max="6" width="32.7265625" bestFit="1" customWidth="1"/>
    <col min="7" max="14" width="12" customWidth="1"/>
    <col min="15" max="15" width="30" customWidth="1"/>
    <col min="16" max="16" width="60" customWidth="1"/>
  </cols>
  <sheetData>
    <row r="1" spans="1:16" ht="29" x14ac:dyDescent="0.35">
      <c r="A1" s="38" t="s">
        <v>70</v>
      </c>
      <c r="B1" s="38"/>
      <c r="C1" s="1" t="s">
        <v>71</v>
      </c>
      <c r="D1" s="1" t="s">
        <v>72</v>
      </c>
      <c r="E1" s="1" t="s">
        <v>73</v>
      </c>
      <c r="F1" s="1" t="s">
        <v>74</v>
      </c>
      <c r="G1" s="1" t="s">
        <v>75</v>
      </c>
      <c r="H1" s="1" t="s">
        <v>76</v>
      </c>
      <c r="I1" s="1" t="s">
        <v>77</v>
      </c>
      <c r="J1" s="1" t="s">
        <v>78</v>
      </c>
      <c r="K1" s="1" t="s">
        <v>79</v>
      </c>
      <c r="L1" s="1" t="s">
        <v>80</v>
      </c>
      <c r="M1" s="1" t="s">
        <v>81</v>
      </c>
      <c r="N1" s="1" t="s">
        <v>82</v>
      </c>
      <c r="O1" s="1" t="s">
        <v>58</v>
      </c>
      <c r="P1" s="1" t="s">
        <v>59</v>
      </c>
    </row>
    <row r="2" spans="1:16" ht="29" x14ac:dyDescent="0.35">
      <c r="A2" s="26" t="s">
        <v>83</v>
      </c>
      <c r="B2" s="26" t="s">
        <v>84</v>
      </c>
      <c r="C2" s="5"/>
      <c r="D2" s="5">
        <f>'1'!B10</f>
        <v>40068</v>
      </c>
      <c r="E2" s="5" t="s">
        <v>116</v>
      </c>
      <c r="F2" s="5"/>
      <c r="G2" s="5"/>
      <c r="H2" s="5" t="s">
        <v>86</v>
      </c>
      <c r="I2" s="5"/>
      <c r="J2" s="5"/>
      <c r="K2" s="5"/>
      <c r="L2" s="5"/>
      <c r="M2" s="5"/>
      <c r="N2" s="5"/>
      <c r="O2" s="6" t="s">
        <v>69</v>
      </c>
      <c r="P2" s="6"/>
    </row>
    <row r="3" spans="1:16" x14ac:dyDescent="0.35">
      <c r="A3" s="27" t="str">
        <f>DEC2HEX(B3)</f>
        <v>9C84</v>
      </c>
      <c r="B3" s="27">
        <f>$D$2+C3</f>
        <v>40068</v>
      </c>
      <c r="C3" s="7">
        <v>0</v>
      </c>
      <c r="D3" s="7"/>
      <c r="E3" s="7" t="s">
        <v>87</v>
      </c>
      <c r="F3" s="7">
        <v>214</v>
      </c>
      <c r="G3" s="7"/>
      <c r="H3" s="7" t="s">
        <v>88</v>
      </c>
      <c r="I3" s="7"/>
      <c r="J3" s="7"/>
      <c r="K3" s="7"/>
      <c r="L3" s="7"/>
      <c r="M3" s="7" t="s">
        <v>89</v>
      </c>
      <c r="N3" s="7" t="s">
        <v>90</v>
      </c>
      <c r="O3" s="8" t="s">
        <v>91</v>
      </c>
      <c r="P3" s="8" t="s">
        <v>92</v>
      </c>
    </row>
    <row r="4" spans="1:16" x14ac:dyDescent="0.35">
      <c r="A4" s="27" t="str">
        <f t="shared" ref="A4:A66" si="0">DEC2HEX(B4)</f>
        <v>9C85</v>
      </c>
      <c r="B4" s="27">
        <f t="shared" ref="B4:B66" si="1">$D$2+C4</f>
        <v>40069</v>
      </c>
      <c r="C4" s="7">
        <v>1</v>
      </c>
      <c r="D4" s="7"/>
      <c r="E4" s="7" t="s">
        <v>93</v>
      </c>
      <c r="F4" s="25">
        <f>B66+1-B4</f>
        <v>124</v>
      </c>
      <c r="G4" s="7"/>
      <c r="H4" s="7" t="s">
        <v>88</v>
      </c>
      <c r="I4" s="7"/>
      <c r="J4" s="7"/>
      <c r="K4" s="7"/>
      <c r="L4" s="7"/>
      <c r="M4" s="7" t="s">
        <v>89</v>
      </c>
      <c r="N4" s="7" t="s">
        <v>90</v>
      </c>
      <c r="O4" s="8" t="s">
        <v>94</v>
      </c>
      <c r="P4" s="8" t="s">
        <v>95</v>
      </c>
    </row>
    <row r="5" spans="1:16" x14ac:dyDescent="0.35">
      <c r="A5" s="27" t="str">
        <f t="shared" si="0"/>
        <v>9C86</v>
      </c>
      <c r="B5" s="27">
        <f t="shared" si="1"/>
        <v>40070</v>
      </c>
      <c r="C5" s="7">
        <v>2</v>
      </c>
      <c r="D5" s="7"/>
      <c r="E5" s="7" t="s">
        <v>117</v>
      </c>
      <c r="F5" s="7"/>
      <c r="G5" s="7"/>
      <c r="H5" s="7" t="s">
        <v>118</v>
      </c>
      <c r="I5" s="7"/>
      <c r="J5" s="7"/>
      <c r="K5" s="7" t="s">
        <v>117</v>
      </c>
      <c r="L5" s="7"/>
      <c r="M5" s="7" t="s">
        <v>89</v>
      </c>
      <c r="N5" s="7"/>
      <c r="O5" s="8" t="s">
        <v>119</v>
      </c>
      <c r="P5" s="8" t="s">
        <v>294</v>
      </c>
    </row>
    <row r="6" spans="1:16" x14ac:dyDescent="0.35">
      <c r="A6" s="27" t="str">
        <f t="shared" si="0"/>
        <v>9C88</v>
      </c>
      <c r="B6" s="27">
        <f t="shared" si="1"/>
        <v>40072</v>
      </c>
      <c r="C6" s="7">
        <v>4</v>
      </c>
      <c r="D6" s="7"/>
      <c r="E6" s="7" t="s">
        <v>121</v>
      </c>
      <c r="F6" s="7"/>
      <c r="G6" s="7"/>
      <c r="H6" s="7" t="s">
        <v>118</v>
      </c>
      <c r="I6" s="7"/>
      <c r="J6" s="7"/>
      <c r="K6" s="7" t="s">
        <v>117</v>
      </c>
      <c r="L6" s="7"/>
      <c r="M6" s="7" t="s">
        <v>89</v>
      </c>
      <c r="N6" s="7"/>
      <c r="O6" s="8" t="s">
        <v>122</v>
      </c>
      <c r="P6" s="8" t="s">
        <v>123</v>
      </c>
    </row>
    <row r="7" spans="1:16" x14ac:dyDescent="0.35">
      <c r="A7" s="27" t="str">
        <f t="shared" si="0"/>
        <v>9C8A</v>
      </c>
      <c r="B7" s="27">
        <f t="shared" si="1"/>
        <v>40074</v>
      </c>
      <c r="C7" s="7">
        <v>6</v>
      </c>
      <c r="D7" s="7"/>
      <c r="E7" s="7" t="s">
        <v>124</v>
      </c>
      <c r="F7" s="7"/>
      <c r="G7" s="7"/>
      <c r="H7" s="7" t="s">
        <v>118</v>
      </c>
      <c r="I7" s="7"/>
      <c r="J7" s="7"/>
      <c r="K7" s="7" t="s">
        <v>117</v>
      </c>
      <c r="L7" s="7"/>
      <c r="M7" s="7" t="s">
        <v>89</v>
      </c>
      <c r="N7" s="7"/>
      <c r="O7" s="8" t="s">
        <v>126</v>
      </c>
      <c r="P7" s="8" t="s">
        <v>127</v>
      </c>
    </row>
    <row r="8" spans="1:16" x14ac:dyDescent="0.35">
      <c r="A8" s="27" t="str">
        <f t="shared" si="0"/>
        <v>9C8C</v>
      </c>
      <c r="B8" s="27">
        <f t="shared" si="1"/>
        <v>40076</v>
      </c>
      <c r="C8" s="7">
        <v>8</v>
      </c>
      <c r="D8" s="7"/>
      <c r="E8" s="7" t="s">
        <v>128</v>
      </c>
      <c r="F8" s="7"/>
      <c r="G8" s="7"/>
      <c r="H8" s="7" t="s">
        <v>118</v>
      </c>
      <c r="I8" s="7"/>
      <c r="J8" s="7"/>
      <c r="K8" s="7" t="s">
        <v>117</v>
      </c>
      <c r="L8" s="7"/>
      <c r="M8" s="7" t="s">
        <v>89</v>
      </c>
      <c r="N8" s="7"/>
      <c r="O8" s="8" t="s">
        <v>129</v>
      </c>
      <c r="P8" s="8" t="s">
        <v>130</v>
      </c>
    </row>
    <row r="9" spans="1:16" x14ac:dyDescent="0.35">
      <c r="A9" s="27" t="str">
        <f t="shared" si="0"/>
        <v>9C8E</v>
      </c>
      <c r="B9" s="27">
        <f t="shared" si="1"/>
        <v>40078</v>
      </c>
      <c r="C9" s="7">
        <v>10</v>
      </c>
      <c r="D9" s="7"/>
      <c r="E9" s="7" t="s">
        <v>131</v>
      </c>
      <c r="F9" s="32" t="s">
        <v>125</v>
      </c>
      <c r="G9" s="7"/>
      <c r="H9" s="7" t="s">
        <v>118</v>
      </c>
      <c r="I9" s="7"/>
      <c r="J9" s="7"/>
      <c r="K9" s="7" t="s">
        <v>132</v>
      </c>
      <c r="L9" s="7"/>
      <c r="M9" s="7"/>
      <c r="N9" s="7"/>
      <c r="O9" s="8" t="s">
        <v>133</v>
      </c>
      <c r="P9" s="8" t="s">
        <v>134</v>
      </c>
    </row>
    <row r="10" spans="1:16" x14ac:dyDescent="0.35">
      <c r="A10" s="27" t="str">
        <f t="shared" si="0"/>
        <v>9C90</v>
      </c>
      <c r="B10" s="27">
        <f t="shared" si="1"/>
        <v>40080</v>
      </c>
      <c r="C10" s="7">
        <v>12</v>
      </c>
      <c r="D10" s="7"/>
      <c r="E10" s="7" t="s">
        <v>135</v>
      </c>
      <c r="F10" s="32" t="s">
        <v>125</v>
      </c>
      <c r="G10" s="7"/>
      <c r="H10" s="7" t="s">
        <v>118</v>
      </c>
      <c r="I10" s="7"/>
      <c r="J10" s="7"/>
      <c r="K10" s="7" t="s">
        <v>132</v>
      </c>
      <c r="L10" s="7"/>
      <c r="M10" s="7"/>
      <c r="N10" s="7"/>
      <c r="O10" s="8" t="s">
        <v>136</v>
      </c>
      <c r="P10" s="8" t="s">
        <v>136</v>
      </c>
    </row>
    <row r="11" spans="1:16" x14ac:dyDescent="0.35">
      <c r="A11" s="27" t="str">
        <f t="shared" si="0"/>
        <v>9C92</v>
      </c>
      <c r="B11" s="27">
        <f t="shared" si="1"/>
        <v>40082</v>
      </c>
      <c r="C11" s="7">
        <v>14</v>
      </c>
      <c r="D11" s="7"/>
      <c r="E11" s="7" t="s">
        <v>137</v>
      </c>
      <c r="F11" s="32" t="s">
        <v>125</v>
      </c>
      <c r="G11" s="7"/>
      <c r="H11" s="7" t="s">
        <v>118</v>
      </c>
      <c r="I11" s="7"/>
      <c r="J11" s="7"/>
      <c r="K11" s="7" t="s">
        <v>132</v>
      </c>
      <c r="L11" s="7"/>
      <c r="M11" s="7"/>
      <c r="N11" s="7"/>
      <c r="O11" s="8" t="s">
        <v>138</v>
      </c>
      <c r="P11" s="8" t="s">
        <v>138</v>
      </c>
    </row>
    <row r="12" spans="1:16" x14ac:dyDescent="0.35">
      <c r="A12" s="27" t="str">
        <f t="shared" si="0"/>
        <v>9C94</v>
      </c>
      <c r="B12" s="27">
        <f t="shared" si="1"/>
        <v>40084</v>
      </c>
      <c r="C12" s="7">
        <v>16</v>
      </c>
      <c r="D12" s="7"/>
      <c r="E12" s="7" t="s">
        <v>139</v>
      </c>
      <c r="F12" s="32" t="s">
        <v>125</v>
      </c>
      <c r="G12" s="7"/>
      <c r="H12" s="7" t="s">
        <v>118</v>
      </c>
      <c r="I12" s="7"/>
      <c r="J12" s="7"/>
      <c r="K12" s="7" t="s">
        <v>132</v>
      </c>
      <c r="L12" s="7"/>
      <c r="M12" s="7"/>
      <c r="N12" s="7"/>
      <c r="O12" s="8" t="s">
        <v>140</v>
      </c>
      <c r="P12" s="8" t="s">
        <v>140</v>
      </c>
    </row>
    <row r="13" spans="1:16" x14ac:dyDescent="0.35">
      <c r="A13" s="27" t="str">
        <f t="shared" si="0"/>
        <v>9C96</v>
      </c>
      <c r="B13" s="27">
        <f t="shared" si="1"/>
        <v>40086</v>
      </c>
      <c r="C13" s="7">
        <v>18</v>
      </c>
      <c r="D13" s="7"/>
      <c r="E13" s="7" t="s">
        <v>141</v>
      </c>
      <c r="F13" s="7"/>
      <c r="G13" s="7"/>
      <c r="H13" s="7" t="s">
        <v>118</v>
      </c>
      <c r="I13" s="7"/>
      <c r="J13" s="7"/>
      <c r="K13" s="7" t="s">
        <v>132</v>
      </c>
      <c r="L13" s="7"/>
      <c r="M13" s="7" t="s">
        <v>89</v>
      </c>
      <c r="N13" s="7"/>
      <c r="O13" s="8" t="s">
        <v>142</v>
      </c>
      <c r="P13" s="8" t="s">
        <v>143</v>
      </c>
    </row>
    <row r="14" spans="1:16" x14ac:dyDescent="0.35">
      <c r="A14" s="27" t="str">
        <f t="shared" si="0"/>
        <v>9C98</v>
      </c>
      <c r="B14" s="27">
        <f t="shared" si="1"/>
        <v>40088</v>
      </c>
      <c r="C14" s="7">
        <v>20</v>
      </c>
      <c r="D14" s="7"/>
      <c r="E14" s="7" t="s">
        <v>144</v>
      </c>
      <c r="F14" s="7"/>
      <c r="G14" s="7"/>
      <c r="H14" s="7" t="s">
        <v>118</v>
      </c>
      <c r="I14" s="7"/>
      <c r="J14" s="7"/>
      <c r="K14" s="7" t="s">
        <v>132</v>
      </c>
      <c r="L14" s="7"/>
      <c r="M14" s="7" t="s">
        <v>89</v>
      </c>
      <c r="N14" s="7"/>
      <c r="O14" s="8" t="s">
        <v>145</v>
      </c>
      <c r="P14" s="8" t="s">
        <v>145</v>
      </c>
    </row>
    <row r="15" spans="1:16" x14ac:dyDescent="0.35">
      <c r="A15" s="27" t="str">
        <f t="shared" si="0"/>
        <v>9C9A</v>
      </c>
      <c r="B15" s="27">
        <f t="shared" si="1"/>
        <v>40090</v>
      </c>
      <c r="C15" s="7">
        <v>22</v>
      </c>
      <c r="D15" s="7"/>
      <c r="E15" s="7" t="s">
        <v>146</v>
      </c>
      <c r="F15" s="7"/>
      <c r="G15" s="7"/>
      <c r="H15" s="7" t="s">
        <v>118</v>
      </c>
      <c r="I15" s="7"/>
      <c r="J15" s="7"/>
      <c r="K15" s="7" t="s">
        <v>132</v>
      </c>
      <c r="L15" s="7"/>
      <c r="M15" s="7" t="s">
        <v>89</v>
      </c>
      <c r="N15" s="7"/>
      <c r="O15" s="8" t="s">
        <v>147</v>
      </c>
      <c r="P15" s="8" t="s">
        <v>147</v>
      </c>
    </row>
    <row r="16" spans="1:16" x14ac:dyDescent="0.35">
      <c r="A16" s="27" t="str">
        <f t="shared" si="0"/>
        <v>9C9C</v>
      </c>
      <c r="B16" s="27">
        <f t="shared" si="1"/>
        <v>40092</v>
      </c>
      <c r="C16" s="7">
        <v>24</v>
      </c>
      <c r="D16" s="7"/>
      <c r="E16" s="7" t="s">
        <v>148</v>
      </c>
      <c r="F16" s="7"/>
      <c r="G16" s="7"/>
      <c r="H16" s="7" t="s">
        <v>118</v>
      </c>
      <c r="I16" s="7"/>
      <c r="J16" s="7"/>
      <c r="K16" s="7" t="s">
        <v>132</v>
      </c>
      <c r="L16" s="7"/>
      <c r="M16" s="7" t="s">
        <v>89</v>
      </c>
      <c r="N16" s="7"/>
      <c r="O16" s="8" t="s">
        <v>149</v>
      </c>
      <c r="P16" s="8" t="s">
        <v>149</v>
      </c>
    </row>
    <row r="17" spans="1:16" x14ac:dyDescent="0.35">
      <c r="A17" s="27" t="str">
        <f t="shared" si="0"/>
        <v>9C9E</v>
      </c>
      <c r="B17" s="27">
        <f t="shared" si="1"/>
        <v>40094</v>
      </c>
      <c r="C17" s="7">
        <v>26</v>
      </c>
      <c r="D17" s="7"/>
      <c r="E17" s="7" t="s">
        <v>150</v>
      </c>
      <c r="F17" s="7"/>
      <c r="G17" s="7"/>
      <c r="H17" s="7" t="s">
        <v>118</v>
      </c>
      <c r="I17" s="7"/>
      <c r="J17" s="7"/>
      <c r="K17" s="7" t="s">
        <v>150</v>
      </c>
      <c r="L17" s="7"/>
      <c r="M17" s="7" t="s">
        <v>89</v>
      </c>
      <c r="N17" s="7"/>
      <c r="O17" s="8" t="s">
        <v>150</v>
      </c>
      <c r="P17" s="8" t="s">
        <v>151</v>
      </c>
    </row>
    <row r="18" spans="1:16" x14ac:dyDescent="0.35">
      <c r="A18" s="27" t="str">
        <f t="shared" si="0"/>
        <v>9CA0</v>
      </c>
      <c r="B18" s="27">
        <f t="shared" si="1"/>
        <v>40096</v>
      </c>
      <c r="C18" s="7">
        <v>28</v>
      </c>
      <c r="D18" s="7"/>
      <c r="E18" s="7" t="s">
        <v>152</v>
      </c>
      <c r="F18" s="7"/>
      <c r="G18" s="7"/>
      <c r="H18" s="7" t="s">
        <v>118</v>
      </c>
      <c r="I18" s="7"/>
      <c r="J18" s="7"/>
      <c r="K18" s="7" t="s">
        <v>152</v>
      </c>
      <c r="L18" s="7"/>
      <c r="M18" s="7" t="s">
        <v>89</v>
      </c>
      <c r="N18" s="7"/>
      <c r="O18" s="8" t="s">
        <v>153</v>
      </c>
      <c r="P18" s="8" t="s">
        <v>154</v>
      </c>
    </row>
    <row r="19" spans="1:16" x14ac:dyDescent="0.35">
      <c r="A19" s="27" t="str">
        <f t="shared" si="0"/>
        <v>9CA2</v>
      </c>
      <c r="B19" s="27">
        <f t="shared" si="1"/>
        <v>40098</v>
      </c>
      <c r="C19" s="7">
        <v>30</v>
      </c>
      <c r="D19" s="7"/>
      <c r="E19" s="7" t="s">
        <v>155</v>
      </c>
      <c r="F19" s="32" t="s">
        <v>125</v>
      </c>
      <c r="G19" s="7"/>
      <c r="H19" s="7" t="s">
        <v>118</v>
      </c>
      <c r="I19" s="7"/>
      <c r="J19" s="7"/>
      <c r="K19" s="7" t="s">
        <v>152</v>
      </c>
      <c r="L19" s="7"/>
      <c r="M19" s="7"/>
      <c r="N19" s="7"/>
      <c r="O19" s="8" t="s">
        <v>156</v>
      </c>
      <c r="P19" s="8"/>
    </row>
    <row r="20" spans="1:16" x14ac:dyDescent="0.35">
      <c r="A20" s="27" t="str">
        <f t="shared" si="0"/>
        <v>9CA4</v>
      </c>
      <c r="B20" s="27">
        <f t="shared" si="1"/>
        <v>40100</v>
      </c>
      <c r="C20" s="7">
        <v>32</v>
      </c>
      <c r="D20" s="7"/>
      <c r="E20" s="7" t="s">
        <v>157</v>
      </c>
      <c r="F20" s="32" t="s">
        <v>125</v>
      </c>
      <c r="G20" s="7"/>
      <c r="H20" s="7" t="s">
        <v>118</v>
      </c>
      <c r="I20" s="7"/>
      <c r="J20" s="7"/>
      <c r="K20" s="7" t="s">
        <v>152</v>
      </c>
      <c r="L20" s="7"/>
      <c r="M20" s="7"/>
      <c r="N20" s="7"/>
      <c r="O20" s="8" t="s">
        <v>158</v>
      </c>
      <c r="P20" s="8"/>
    </row>
    <row r="21" spans="1:16" x14ac:dyDescent="0.35">
      <c r="A21" s="27" t="str">
        <f t="shared" si="0"/>
        <v>9CA6</v>
      </c>
      <c r="B21" s="27">
        <f t="shared" si="1"/>
        <v>40102</v>
      </c>
      <c r="C21" s="7">
        <v>34</v>
      </c>
      <c r="D21" s="7"/>
      <c r="E21" s="7" t="s">
        <v>159</v>
      </c>
      <c r="F21" s="32" t="s">
        <v>125</v>
      </c>
      <c r="G21" s="7"/>
      <c r="H21" s="7" t="s">
        <v>118</v>
      </c>
      <c r="I21" s="7"/>
      <c r="J21" s="7"/>
      <c r="K21" s="7" t="s">
        <v>152</v>
      </c>
      <c r="L21" s="7"/>
      <c r="M21" s="7"/>
      <c r="N21" s="7"/>
      <c r="O21" s="8" t="s">
        <v>160</v>
      </c>
      <c r="P21" s="8"/>
    </row>
    <row r="22" spans="1:16" x14ac:dyDescent="0.35">
      <c r="A22" s="27" t="str">
        <f t="shared" si="0"/>
        <v>9CA8</v>
      </c>
      <c r="B22" s="27">
        <f t="shared" si="1"/>
        <v>40104</v>
      </c>
      <c r="C22" s="7">
        <v>36</v>
      </c>
      <c r="D22" s="7"/>
      <c r="E22" s="7" t="s">
        <v>161</v>
      </c>
      <c r="F22" s="32"/>
      <c r="G22" s="7"/>
      <c r="H22" s="7" t="s">
        <v>118</v>
      </c>
      <c r="I22" s="7"/>
      <c r="J22" s="7"/>
      <c r="K22" s="7" t="s">
        <v>161</v>
      </c>
      <c r="L22" s="7"/>
      <c r="M22" s="7"/>
      <c r="N22" s="7"/>
      <c r="O22" s="8" t="s">
        <v>161</v>
      </c>
      <c r="P22" s="8" t="s">
        <v>162</v>
      </c>
    </row>
    <row r="23" spans="1:16" x14ac:dyDescent="0.35">
      <c r="A23" s="27" t="str">
        <f t="shared" si="0"/>
        <v>9CAA</v>
      </c>
      <c r="B23" s="27">
        <f t="shared" si="1"/>
        <v>40106</v>
      </c>
      <c r="C23" s="7">
        <v>38</v>
      </c>
      <c r="D23" s="7"/>
      <c r="E23" s="7" t="s">
        <v>163</v>
      </c>
      <c r="F23" s="32" t="s">
        <v>125</v>
      </c>
      <c r="G23" s="7"/>
      <c r="H23" s="7" t="s">
        <v>118</v>
      </c>
      <c r="I23" s="7"/>
      <c r="J23" s="7"/>
      <c r="K23" s="7" t="s">
        <v>161</v>
      </c>
      <c r="L23" s="7"/>
      <c r="M23" s="7"/>
      <c r="N23" s="7"/>
      <c r="O23" s="8" t="s">
        <v>164</v>
      </c>
      <c r="P23" s="8"/>
    </row>
    <row r="24" spans="1:16" x14ac:dyDescent="0.35">
      <c r="A24" s="27" t="str">
        <f t="shared" si="0"/>
        <v>9CAC</v>
      </c>
      <c r="B24" s="27">
        <f t="shared" si="1"/>
        <v>40108</v>
      </c>
      <c r="C24" s="7">
        <v>40</v>
      </c>
      <c r="D24" s="7"/>
      <c r="E24" s="7" t="s">
        <v>165</v>
      </c>
      <c r="F24" s="32" t="s">
        <v>125</v>
      </c>
      <c r="G24" s="7"/>
      <c r="H24" s="7" t="s">
        <v>118</v>
      </c>
      <c r="I24" s="7"/>
      <c r="J24" s="7"/>
      <c r="K24" s="7" t="s">
        <v>161</v>
      </c>
      <c r="L24" s="7"/>
      <c r="M24" s="7"/>
      <c r="N24" s="7"/>
      <c r="O24" s="8" t="s">
        <v>166</v>
      </c>
      <c r="P24" s="8"/>
    </row>
    <row r="25" spans="1:16" x14ac:dyDescent="0.35">
      <c r="A25" s="27" t="str">
        <f t="shared" si="0"/>
        <v>9CAE</v>
      </c>
      <c r="B25" s="27">
        <f t="shared" si="1"/>
        <v>40110</v>
      </c>
      <c r="C25" s="7">
        <v>42</v>
      </c>
      <c r="D25" s="7"/>
      <c r="E25" s="7" t="s">
        <v>167</v>
      </c>
      <c r="F25" s="32" t="s">
        <v>125</v>
      </c>
      <c r="G25" s="7"/>
      <c r="H25" s="7" t="s">
        <v>118</v>
      </c>
      <c r="I25" s="7"/>
      <c r="J25" s="7"/>
      <c r="K25" s="7" t="s">
        <v>161</v>
      </c>
      <c r="L25" s="7"/>
      <c r="M25" s="7"/>
      <c r="N25" s="7"/>
      <c r="O25" s="8" t="s">
        <v>168</v>
      </c>
      <c r="P25" s="8"/>
    </row>
    <row r="26" spans="1:16" x14ac:dyDescent="0.35">
      <c r="A26" s="27" t="str">
        <f t="shared" si="0"/>
        <v>9CB0</v>
      </c>
      <c r="B26" s="27">
        <f t="shared" si="1"/>
        <v>40112</v>
      </c>
      <c r="C26" s="7">
        <v>44</v>
      </c>
      <c r="D26" s="7"/>
      <c r="E26" s="7" t="s">
        <v>169</v>
      </c>
      <c r="F26" s="7"/>
      <c r="G26" s="7"/>
      <c r="H26" s="7" t="s">
        <v>118</v>
      </c>
      <c r="I26" s="7"/>
      <c r="J26" s="7"/>
      <c r="K26" s="7" t="s">
        <v>170</v>
      </c>
      <c r="L26" s="7"/>
      <c r="M26" s="7"/>
      <c r="N26" s="7"/>
      <c r="O26" s="8" t="s">
        <v>169</v>
      </c>
      <c r="P26" s="8" t="s">
        <v>171</v>
      </c>
    </row>
    <row r="27" spans="1:16" x14ac:dyDescent="0.35">
      <c r="A27" s="27" t="str">
        <f t="shared" si="0"/>
        <v>9CB2</v>
      </c>
      <c r="B27" s="27">
        <f t="shared" si="1"/>
        <v>40114</v>
      </c>
      <c r="C27" s="7">
        <v>46</v>
      </c>
      <c r="D27" s="7"/>
      <c r="E27" s="7" t="s">
        <v>172</v>
      </c>
      <c r="F27" s="32" t="s">
        <v>125</v>
      </c>
      <c r="G27" s="7"/>
      <c r="H27" s="7" t="s">
        <v>118</v>
      </c>
      <c r="I27" s="7"/>
      <c r="J27" s="7"/>
      <c r="K27" s="7" t="s">
        <v>170</v>
      </c>
      <c r="L27" s="7"/>
      <c r="M27" s="7"/>
      <c r="N27" s="7"/>
      <c r="O27" s="8" t="s">
        <v>173</v>
      </c>
      <c r="P27" s="8"/>
    </row>
    <row r="28" spans="1:16" x14ac:dyDescent="0.35">
      <c r="A28" s="27" t="str">
        <f t="shared" si="0"/>
        <v>9CB4</v>
      </c>
      <c r="B28" s="27">
        <f t="shared" si="1"/>
        <v>40116</v>
      </c>
      <c r="C28" s="7">
        <v>48</v>
      </c>
      <c r="D28" s="7"/>
      <c r="E28" s="7" t="s">
        <v>174</v>
      </c>
      <c r="F28" s="32" t="s">
        <v>125</v>
      </c>
      <c r="G28" s="7"/>
      <c r="H28" s="7" t="s">
        <v>118</v>
      </c>
      <c r="I28" s="7"/>
      <c r="J28" s="7"/>
      <c r="K28" s="7" t="s">
        <v>170</v>
      </c>
      <c r="L28" s="7"/>
      <c r="M28" s="7"/>
      <c r="N28" s="7"/>
      <c r="O28" s="8" t="s">
        <v>175</v>
      </c>
      <c r="P28" s="8"/>
    </row>
    <row r="29" spans="1:16" x14ac:dyDescent="0.35">
      <c r="A29" s="27" t="str">
        <f t="shared" si="0"/>
        <v>9CB6</v>
      </c>
      <c r="B29" s="27">
        <f t="shared" si="1"/>
        <v>40118</v>
      </c>
      <c r="C29" s="7">
        <v>50</v>
      </c>
      <c r="D29" s="7"/>
      <c r="E29" s="7" t="s">
        <v>176</v>
      </c>
      <c r="F29" s="32" t="s">
        <v>125</v>
      </c>
      <c r="G29" s="7"/>
      <c r="H29" s="7" t="s">
        <v>118</v>
      </c>
      <c r="I29" s="7"/>
      <c r="J29" s="7"/>
      <c r="K29" s="7" t="s">
        <v>170</v>
      </c>
      <c r="L29" s="7"/>
      <c r="M29" s="7"/>
      <c r="N29" s="7"/>
      <c r="O29" s="8" t="s">
        <v>177</v>
      </c>
      <c r="P29" s="8"/>
    </row>
    <row r="30" spans="1:16" x14ac:dyDescent="0.35">
      <c r="A30" s="27" t="str">
        <f t="shared" si="0"/>
        <v>9CB8</v>
      </c>
      <c r="B30" s="27">
        <f t="shared" si="1"/>
        <v>40120</v>
      </c>
      <c r="C30" s="7">
        <v>52</v>
      </c>
      <c r="D30" s="7"/>
      <c r="E30" s="7" t="s">
        <v>178</v>
      </c>
      <c r="F30" s="7"/>
      <c r="G30" s="7"/>
      <c r="H30" s="7" t="s">
        <v>118</v>
      </c>
      <c r="I30" s="7"/>
      <c r="J30" s="7"/>
      <c r="K30" s="7" t="s">
        <v>178</v>
      </c>
      <c r="L30" s="7"/>
      <c r="M30" s="7"/>
      <c r="N30" s="7"/>
      <c r="O30" s="8" t="s">
        <v>178</v>
      </c>
      <c r="P30" s="8" t="s">
        <v>179</v>
      </c>
    </row>
    <row r="31" spans="1:16" x14ac:dyDescent="0.35">
      <c r="A31" s="27" t="str">
        <f t="shared" si="0"/>
        <v>9CBA</v>
      </c>
      <c r="B31" s="27">
        <f t="shared" si="1"/>
        <v>40122</v>
      </c>
      <c r="C31" s="7">
        <v>54</v>
      </c>
      <c r="D31" s="7"/>
      <c r="E31" s="7" t="s">
        <v>180</v>
      </c>
      <c r="F31" s="32" t="s">
        <v>125</v>
      </c>
      <c r="G31" s="7"/>
      <c r="H31" s="7" t="s">
        <v>118</v>
      </c>
      <c r="I31" s="7"/>
      <c r="J31" s="7"/>
      <c r="K31" s="7" t="s">
        <v>178</v>
      </c>
      <c r="L31" s="7"/>
      <c r="M31" s="7"/>
      <c r="N31" s="7"/>
      <c r="O31" s="8" t="s">
        <v>181</v>
      </c>
      <c r="P31" s="8"/>
    </row>
    <row r="32" spans="1:16" x14ac:dyDescent="0.35">
      <c r="A32" s="27" t="str">
        <f t="shared" si="0"/>
        <v>9CBC</v>
      </c>
      <c r="B32" s="27">
        <f t="shared" si="1"/>
        <v>40124</v>
      </c>
      <c r="C32" s="7">
        <v>56</v>
      </c>
      <c r="D32" s="7"/>
      <c r="E32" s="7" t="s">
        <v>182</v>
      </c>
      <c r="F32" s="32" t="s">
        <v>125</v>
      </c>
      <c r="G32" s="7"/>
      <c r="H32" s="7" t="s">
        <v>118</v>
      </c>
      <c r="I32" s="7"/>
      <c r="J32" s="7"/>
      <c r="K32" s="7" t="s">
        <v>178</v>
      </c>
      <c r="L32" s="7"/>
      <c r="M32" s="7"/>
      <c r="N32" s="7"/>
      <c r="O32" s="8" t="s">
        <v>183</v>
      </c>
      <c r="P32" s="8"/>
    </row>
    <row r="33" spans="1:16" x14ac:dyDescent="0.35">
      <c r="A33" s="27" t="str">
        <f t="shared" si="0"/>
        <v>9CBE</v>
      </c>
      <c r="B33" s="27">
        <f t="shared" si="1"/>
        <v>40126</v>
      </c>
      <c r="C33" s="7">
        <v>58</v>
      </c>
      <c r="D33" s="7"/>
      <c r="E33" s="7" t="s">
        <v>184</v>
      </c>
      <c r="F33" s="32" t="s">
        <v>125</v>
      </c>
      <c r="G33" s="7"/>
      <c r="H33" s="7" t="s">
        <v>118</v>
      </c>
      <c r="I33" s="7"/>
      <c r="J33" s="7"/>
      <c r="K33" s="7" t="s">
        <v>178</v>
      </c>
      <c r="L33" s="7"/>
      <c r="M33" s="7"/>
      <c r="N33" s="7"/>
      <c r="O33" s="8" t="s">
        <v>185</v>
      </c>
      <c r="P33" s="8"/>
    </row>
    <row r="34" spans="1:16" x14ac:dyDescent="0.35">
      <c r="A34" s="27" t="str">
        <f t="shared" si="0"/>
        <v>9CC0</v>
      </c>
      <c r="B34" s="27">
        <f t="shared" si="1"/>
        <v>40128</v>
      </c>
      <c r="C34" s="7">
        <v>60</v>
      </c>
      <c r="D34" s="7"/>
      <c r="E34" s="7" t="s">
        <v>186</v>
      </c>
      <c r="F34" s="7"/>
      <c r="G34" s="7"/>
      <c r="H34" s="7" t="s">
        <v>118</v>
      </c>
      <c r="I34" s="7"/>
      <c r="J34" s="7"/>
      <c r="K34" s="7" t="s">
        <v>187</v>
      </c>
      <c r="L34" s="7"/>
      <c r="M34" s="7" t="s">
        <v>89</v>
      </c>
      <c r="N34" s="7"/>
      <c r="O34" s="8" t="s">
        <v>188</v>
      </c>
      <c r="P34" s="8" t="s">
        <v>189</v>
      </c>
    </row>
    <row r="35" spans="1:16" ht="29" x14ac:dyDescent="0.35">
      <c r="A35" s="27" t="str">
        <f t="shared" si="0"/>
        <v>9CC2</v>
      </c>
      <c r="B35" s="27">
        <f t="shared" si="1"/>
        <v>40130</v>
      </c>
      <c r="C35" s="7">
        <v>62</v>
      </c>
      <c r="D35" s="7"/>
      <c r="E35" s="7" t="s">
        <v>190</v>
      </c>
      <c r="F35" s="32" t="s">
        <v>125</v>
      </c>
      <c r="G35" s="7"/>
      <c r="H35" s="7" t="s">
        <v>118</v>
      </c>
      <c r="I35" s="7"/>
      <c r="J35" s="7"/>
      <c r="K35" s="7" t="s">
        <v>187</v>
      </c>
      <c r="L35" s="7"/>
      <c r="M35" s="7"/>
      <c r="N35" s="7"/>
      <c r="O35" s="8" t="s">
        <v>191</v>
      </c>
      <c r="P35" s="8"/>
    </row>
    <row r="36" spans="1:16" ht="29" x14ac:dyDescent="0.35">
      <c r="A36" s="27" t="str">
        <f t="shared" si="0"/>
        <v>9CC4</v>
      </c>
      <c r="B36" s="27">
        <f t="shared" si="1"/>
        <v>40132</v>
      </c>
      <c r="C36" s="7">
        <v>64</v>
      </c>
      <c r="D36" s="7"/>
      <c r="E36" s="7" t="s">
        <v>192</v>
      </c>
      <c r="F36" s="32" t="s">
        <v>125</v>
      </c>
      <c r="G36" s="7"/>
      <c r="H36" s="7" t="s">
        <v>118</v>
      </c>
      <c r="I36" s="7"/>
      <c r="J36" s="7"/>
      <c r="K36" s="7" t="s">
        <v>187</v>
      </c>
      <c r="L36" s="7"/>
      <c r="M36" s="7"/>
      <c r="N36" s="7"/>
      <c r="O36" s="8" t="s">
        <v>193</v>
      </c>
      <c r="P36" s="8"/>
    </row>
    <row r="37" spans="1:16" ht="29" x14ac:dyDescent="0.35">
      <c r="A37" s="27" t="str">
        <f t="shared" si="0"/>
        <v>9CC6</v>
      </c>
      <c r="B37" s="27">
        <f t="shared" si="1"/>
        <v>40134</v>
      </c>
      <c r="C37" s="7">
        <v>66</v>
      </c>
      <c r="D37" s="7"/>
      <c r="E37" s="7" t="s">
        <v>194</v>
      </c>
      <c r="F37" s="32" t="s">
        <v>125</v>
      </c>
      <c r="G37" s="7"/>
      <c r="H37" s="7" t="s">
        <v>118</v>
      </c>
      <c r="I37" s="7"/>
      <c r="J37" s="7"/>
      <c r="K37" s="7" t="s">
        <v>187</v>
      </c>
      <c r="L37" s="7"/>
      <c r="M37" s="7"/>
      <c r="N37" s="7"/>
      <c r="O37" s="8" t="s">
        <v>195</v>
      </c>
      <c r="P37" s="8"/>
    </row>
    <row r="38" spans="1:16" x14ac:dyDescent="0.35">
      <c r="A38" s="27" t="str">
        <f t="shared" si="0"/>
        <v>9CC8</v>
      </c>
      <c r="B38" s="27">
        <f t="shared" si="1"/>
        <v>40136</v>
      </c>
      <c r="C38" s="7">
        <v>68</v>
      </c>
      <c r="D38" s="7"/>
      <c r="E38" s="7" t="s">
        <v>196</v>
      </c>
      <c r="F38" s="7"/>
      <c r="G38" s="7"/>
      <c r="H38" s="7" t="s">
        <v>118</v>
      </c>
      <c r="I38" s="7"/>
      <c r="J38" s="7"/>
      <c r="K38" s="7" t="s">
        <v>187</v>
      </c>
      <c r="L38" s="7"/>
      <c r="M38" s="7" t="s">
        <v>89</v>
      </c>
      <c r="N38" s="7"/>
      <c r="O38" s="8" t="s">
        <v>197</v>
      </c>
      <c r="P38" s="8" t="s">
        <v>198</v>
      </c>
    </row>
    <row r="39" spans="1:16" ht="29" x14ac:dyDescent="0.35">
      <c r="A39" s="27" t="str">
        <f t="shared" si="0"/>
        <v>9CCA</v>
      </c>
      <c r="B39" s="27">
        <f t="shared" si="1"/>
        <v>40138</v>
      </c>
      <c r="C39" s="7">
        <v>70</v>
      </c>
      <c r="D39" s="7"/>
      <c r="E39" s="7" t="s">
        <v>199</v>
      </c>
      <c r="F39" s="32" t="s">
        <v>125</v>
      </c>
      <c r="G39" s="7"/>
      <c r="H39" s="7" t="s">
        <v>118</v>
      </c>
      <c r="I39" s="7"/>
      <c r="J39" s="7"/>
      <c r="K39" s="7" t="s">
        <v>187</v>
      </c>
      <c r="L39" s="7"/>
      <c r="M39" s="7"/>
      <c r="N39" s="7"/>
      <c r="O39" s="8" t="s">
        <v>200</v>
      </c>
      <c r="P39" s="8"/>
    </row>
    <row r="40" spans="1:16" ht="29" x14ac:dyDescent="0.35">
      <c r="A40" s="27" t="str">
        <f t="shared" si="0"/>
        <v>9CCC</v>
      </c>
      <c r="B40" s="27">
        <f t="shared" si="1"/>
        <v>40140</v>
      </c>
      <c r="C40" s="7">
        <v>72</v>
      </c>
      <c r="D40" s="7"/>
      <c r="E40" s="7" t="s">
        <v>201</v>
      </c>
      <c r="F40" s="32" t="s">
        <v>125</v>
      </c>
      <c r="G40" s="7"/>
      <c r="H40" s="7" t="s">
        <v>118</v>
      </c>
      <c r="I40" s="7"/>
      <c r="J40" s="7"/>
      <c r="K40" s="7" t="s">
        <v>187</v>
      </c>
      <c r="L40" s="7"/>
      <c r="M40" s="7"/>
      <c r="N40" s="7"/>
      <c r="O40" s="8" t="s">
        <v>202</v>
      </c>
      <c r="P40" s="8"/>
    </row>
    <row r="41" spans="1:16" ht="29" x14ac:dyDescent="0.35">
      <c r="A41" s="27" t="str">
        <f t="shared" si="0"/>
        <v>9CCE</v>
      </c>
      <c r="B41" s="27">
        <f t="shared" si="1"/>
        <v>40142</v>
      </c>
      <c r="C41" s="7">
        <v>74</v>
      </c>
      <c r="D41" s="7"/>
      <c r="E41" s="7" t="s">
        <v>203</v>
      </c>
      <c r="F41" s="32" t="s">
        <v>125</v>
      </c>
      <c r="G41" s="7"/>
      <c r="H41" s="7" t="s">
        <v>118</v>
      </c>
      <c r="I41" s="7"/>
      <c r="J41" s="7"/>
      <c r="K41" s="7" t="s">
        <v>187</v>
      </c>
      <c r="L41" s="7"/>
      <c r="M41" s="7"/>
      <c r="N41" s="7"/>
      <c r="O41" s="8" t="s">
        <v>204</v>
      </c>
      <c r="P41" s="8"/>
    </row>
    <row r="42" spans="1:16" x14ac:dyDescent="0.35">
      <c r="A42" s="28" t="str">
        <f t="shared" si="0"/>
        <v>9CD0</v>
      </c>
      <c r="B42" s="28">
        <f t="shared" si="1"/>
        <v>40144</v>
      </c>
      <c r="C42" s="7">
        <v>76</v>
      </c>
      <c r="D42" s="7"/>
      <c r="E42" s="7" t="s">
        <v>205</v>
      </c>
      <c r="F42" s="36" t="s">
        <v>125</v>
      </c>
      <c r="G42" s="7"/>
      <c r="H42" s="7" t="s">
        <v>118</v>
      </c>
      <c r="I42" s="7"/>
      <c r="J42" s="7"/>
      <c r="K42" s="7" t="s">
        <v>206</v>
      </c>
      <c r="L42" s="7"/>
      <c r="M42" s="7"/>
      <c r="N42" s="7"/>
      <c r="O42" s="8" t="s">
        <v>207</v>
      </c>
      <c r="P42" s="8" t="s">
        <v>208</v>
      </c>
    </row>
    <row r="43" spans="1:16" x14ac:dyDescent="0.35">
      <c r="A43" s="27" t="str">
        <f t="shared" si="0"/>
        <v>9CD2</v>
      </c>
      <c r="B43" s="27">
        <f t="shared" si="1"/>
        <v>40146</v>
      </c>
      <c r="C43" s="7">
        <v>78</v>
      </c>
      <c r="D43" s="7"/>
      <c r="E43" s="7" t="s">
        <v>209</v>
      </c>
      <c r="F43" s="36" t="s">
        <v>125</v>
      </c>
      <c r="G43" s="7"/>
      <c r="H43" s="7" t="s">
        <v>118</v>
      </c>
      <c r="I43" s="7"/>
      <c r="J43" s="7"/>
      <c r="K43" s="7" t="s">
        <v>206</v>
      </c>
      <c r="L43" s="7"/>
      <c r="M43" s="7"/>
      <c r="N43" s="7"/>
      <c r="O43" s="8" t="s">
        <v>210</v>
      </c>
      <c r="P43" s="8"/>
    </row>
    <row r="44" spans="1:16" x14ac:dyDescent="0.35">
      <c r="A44" s="27" t="str">
        <f t="shared" si="0"/>
        <v>9CD4</v>
      </c>
      <c r="B44" s="27">
        <f t="shared" si="1"/>
        <v>40148</v>
      </c>
      <c r="C44" s="7">
        <v>80</v>
      </c>
      <c r="D44" s="7"/>
      <c r="E44" s="7" t="s">
        <v>211</v>
      </c>
      <c r="F44" s="36" t="s">
        <v>125</v>
      </c>
      <c r="G44" s="7"/>
      <c r="H44" s="7" t="s">
        <v>118</v>
      </c>
      <c r="I44" s="7"/>
      <c r="J44" s="7"/>
      <c r="K44" s="7" t="s">
        <v>206</v>
      </c>
      <c r="L44" s="7"/>
      <c r="M44" s="7"/>
      <c r="N44" s="7"/>
      <c r="O44" s="8" t="s">
        <v>212</v>
      </c>
      <c r="P44" s="8"/>
    </row>
    <row r="45" spans="1:16" x14ac:dyDescent="0.35">
      <c r="A45" s="27" t="str">
        <f t="shared" si="0"/>
        <v>9CD6</v>
      </c>
      <c r="B45" s="27">
        <f t="shared" si="1"/>
        <v>40150</v>
      </c>
      <c r="C45" s="7">
        <v>82</v>
      </c>
      <c r="D45" s="7"/>
      <c r="E45" s="7" t="s">
        <v>213</v>
      </c>
      <c r="F45" s="36" t="s">
        <v>125</v>
      </c>
      <c r="G45" s="7"/>
      <c r="H45" s="7" t="s">
        <v>118</v>
      </c>
      <c r="I45" s="7"/>
      <c r="J45" s="7"/>
      <c r="K45" s="7" t="s">
        <v>206</v>
      </c>
      <c r="L45" s="7"/>
      <c r="M45" s="7"/>
      <c r="N45" s="7"/>
      <c r="O45" s="8" t="s">
        <v>214</v>
      </c>
      <c r="P45" s="8"/>
    </row>
    <row r="46" spans="1:16" x14ac:dyDescent="0.35">
      <c r="A46" s="27" t="str">
        <f t="shared" si="0"/>
        <v>9CD8</v>
      </c>
      <c r="B46" s="27">
        <f t="shared" si="1"/>
        <v>40152</v>
      </c>
      <c r="C46" s="7">
        <v>84</v>
      </c>
      <c r="D46" s="7"/>
      <c r="E46" s="7" t="s">
        <v>215</v>
      </c>
      <c r="F46" s="36" t="s">
        <v>125</v>
      </c>
      <c r="G46" s="7"/>
      <c r="H46" s="7" t="s">
        <v>118</v>
      </c>
      <c r="I46" s="7"/>
      <c r="J46" s="7"/>
      <c r="K46" s="7" t="s">
        <v>206</v>
      </c>
      <c r="L46" s="7"/>
      <c r="M46" s="7"/>
      <c r="N46" s="7"/>
      <c r="O46" s="8" t="s">
        <v>216</v>
      </c>
      <c r="P46" s="8" t="s">
        <v>217</v>
      </c>
    </row>
    <row r="47" spans="1:16" x14ac:dyDescent="0.35">
      <c r="A47" s="27" t="str">
        <f t="shared" si="0"/>
        <v>9CDA</v>
      </c>
      <c r="B47" s="27">
        <f t="shared" si="1"/>
        <v>40154</v>
      </c>
      <c r="C47" s="7">
        <v>86</v>
      </c>
      <c r="D47" s="7"/>
      <c r="E47" s="7" t="s">
        <v>218</v>
      </c>
      <c r="F47" s="36" t="s">
        <v>125</v>
      </c>
      <c r="G47" s="7"/>
      <c r="H47" s="7" t="s">
        <v>118</v>
      </c>
      <c r="I47" s="7"/>
      <c r="J47" s="7"/>
      <c r="K47" s="7" t="s">
        <v>206</v>
      </c>
      <c r="L47" s="7"/>
      <c r="M47" s="7"/>
      <c r="N47" s="7"/>
      <c r="O47" s="8" t="s">
        <v>219</v>
      </c>
      <c r="P47" s="8"/>
    </row>
    <row r="48" spans="1:16" x14ac:dyDescent="0.35">
      <c r="A48" s="27" t="str">
        <f t="shared" si="0"/>
        <v>9CDC</v>
      </c>
      <c r="B48" s="27">
        <f t="shared" si="1"/>
        <v>40156</v>
      </c>
      <c r="C48" s="7">
        <v>88</v>
      </c>
      <c r="D48" s="7"/>
      <c r="E48" s="7" t="s">
        <v>220</v>
      </c>
      <c r="F48" s="36" t="s">
        <v>125</v>
      </c>
      <c r="G48" s="7"/>
      <c r="H48" s="7" t="s">
        <v>118</v>
      </c>
      <c r="I48" s="7"/>
      <c r="J48" s="7"/>
      <c r="K48" s="7" t="s">
        <v>206</v>
      </c>
      <c r="L48" s="7"/>
      <c r="M48" s="7"/>
      <c r="N48" s="7"/>
      <c r="O48" s="8" t="s">
        <v>221</v>
      </c>
      <c r="P48" s="8"/>
    </row>
    <row r="49" spans="1:16" x14ac:dyDescent="0.35">
      <c r="A49" s="27" t="str">
        <f t="shared" si="0"/>
        <v>9CDE</v>
      </c>
      <c r="B49" s="27">
        <f t="shared" si="1"/>
        <v>40158</v>
      </c>
      <c r="C49" s="7">
        <v>90</v>
      </c>
      <c r="D49" s="7"/>
      <c r="E49" s="7" t="s">
        <v>222</v>
      </c>
      <c r="F49" s="36" t="s">
        <v>125</v>
      </c>
      <c r="G49" s="7"/>
      <c r="H49" s="7" t="s">
        <v>118</v>
      </c>
      <c r="I49" s="7"/>
      <c r="J49" s="7"/>
      <c r="K49" s="7" t="s">
        <v>206</v>
      </c>
      <c r="L49" s="7"/>
      <c r="M49" s="7"/>
      <c r="N49" s="7"/>
      <c r="O49" s="8" t="s">
        <v>223</v>
      </c>
      <c r="P49" s="8"/>
    </row>
    <row r="50" spans="1:16" x14ac:dyDescent="0.35">
      <c r="A50" s="27" t="str">
        <f t="shared" si="0"/>
        <v>9CE0</v>
      </c>
      <c r="B50" s="27">
        <f t="shared" si="1"/>
        <v>40160</v>
      </c>
      <c r="C50" s="7">
        <v>92</v>
      </c>
      <c r="D50" s="7"/>
      <c r="E50" s="7" t="s">
        <v>224</v>
      </c>
      <c r="F50" s="32"/>
      <c r="G50" s="7"/>
      <c r="H50" s="7" t="s">
        <v>118</v>
      </c>
      <c r="I50" s="7"/>
      <c r="J50" s="7"/>
      <c r="K50" s="7" t="s">
        <v>225</v>
      </c>
      <c r="L50" s="7"/>
      <c r="M50" s="7"/>
      <c r="N50" s="7"/>
      <c r="O50" s="8" t="s">
        <v>226</v>
      </c>
      <c r="P50" s="8" t="s">
        <v>227</v>
      </c>
    </row>
    <row r="51" spans="1:16" ht="29" x14ac:dyDescent="0.35">
      <c r="A51" s="27" t="str">
        <f t="shared" si="0"/>
        <v>9CE2</v>
      </c>
      <c r="B51" s="27">
        <f t="shared" si="1"/>
        <v>40162</v>
      </c>
      <c r="C51" s="7">
        <v>94</v>
      </c>
      <c r="D51" s="7"/>
      <c r="E51" s="7" t="s">
        <v>228</v>
      </c>
      <c r="F51" s="36" t="s">
        <v>125</v>
      </c>
      <c r="G51" s="7"/>
      <c r="H51" s="7" t="s">
        <v>118</v>
      </c>
      <c r="I51" s="7"/>
      <c r="J51" s="7"/>
      <c r="K51" s="7" t="s">
        <v>225</v>
      </c>
      <c r="L51" s="7"/>
      <c r="M51" s="7"/>
      <c r="N51" s="7"/>
      <c r="O51" s="8" t="s">
        <v>229</v>
      </c>
      <c r="P51" s="8"/>
    </row>
    <row r="52" spans="1:16" ht="29" x14ac:dyDescent="0.35">
      <c r="A52" s="27" t="str">
        <f t="shared" si="0"/>
        <v>9CE4</v>
      </c>
      <c r="B52" s="27">
        <f t="shared" si="1"/>
        <v>40164</v>
      </c>
      <c r="C52" s="7">
        <v>96</v>
      </c>
      <c r="D52" s="7"/>
      <c r="E52" s="7" t="s">
        <v>230</v>
      </c>
      <c r="F52" s="36" t="s">
        <v>125</v>
      </c>
      <c r="G52" s="7"/>
      <c r="H52" s="7" t="s">
        <v>118</v>
      </c>
      <c r="I52" s="7"/>
      <c r="J52" s="7"/>
      <c r="K52" s="7" t="s">
        <v>225</v>
      </c>
      <c r="L52" s="7"/>
      <c r="M52" s="7"/>
      <c r="N52" s="7"/>
      <c r="O52" s="8" t="s">
        <v>231</v>
      </c>
      <c r="P52" s="8"/>
    </row>
    <row r="53" spans="1:16" ht="29" x14ac:dyDescent="0.35">
      <c r="A53" s="27" t="str">
        <f t="shared" si="0"/>
        <v>9CE6</v>
      </c>
      <c r="B53" s="27">
        <f t="shared" si="1"/>
        <v>40166</v>
      </c>
      <c r="C53" s="7">
        <v>98</v>
      </c>
      <c r="D53" s="7"/>
      <c r="E53" s="7" t="s">
        <v>232</v>
      </c>
      <c r="F53" s="36" t="s">
        <v>125</v>
      </c>
      <c r="G53" s="7"/>
      <c r="H53" s="7" t="s">
        <v>118</v>
      </c>
      <c r="I53" s="7"/>
      <c r="J53" s="7"/>
      <c r="K53" s="7" t="s">
        <v>225</v>
      </c>
      <c r="L53" s="7"/>
      <c r="M53" s="7"/>
      <c r="N53" s="7"/>
      <c r="O53" s="8" t="s">
        <v>233</v>
      </c>
      <c r="P53" s="8"/>
    </row>
    <row r="54" spans="1:16" x14ac:dyDescent="0.35">
      <c r="A54" s="27" t="str">
        <f t="shared" si="0"/>
        <v>9CE8</v>
      </c>
      <c r="B54" s="27">
        <f t="shared" si="1"/>
        <v>40168</v>
      </c>
      <c r="C54" s="7">
        <v>100</v>
      </c>
      <c r="D54" s="7"/>
      <c r="E54" s="7" t="s">
        <v>234</v>
      </c>
      <c r="F54" s="7"/>
      <c r="G54" s="7"/>
      <c r="H54" s="7" t="s">
        <v>118</v>
      </c>
      <c r="I54" s="7"/>
      <c r="J54" s="7"/>
      <c r="K54" s="7" t="s">
        <v>225</v>
      </c>
      <c r="L54" s="7"/>
      <c r="M54" s="7"/>
      <c r="N54" s="7"/>
      <c r="O54" s="8" t="s">
        <v>235</v>
      </c>
      <c r="P54" s="8" t="s">
        <v>236</v>
      </c>
    </row>
    <row r="55" spans="1:16" ht="29" x14ac:dyDescent="0.35">
      <c r="A55" s="27" t="str">
        <f t="shared" si="0"/>
        <v>9CEA</v>
      </c>
      <c r="B55" s="27">
        <f t="shared" si="1"/>
        <v>40170</v>
      </c>
      <c r="C55" s="7">
        <v>102</v>
      </c>
      <c r="D55" s="7"/>
      <c r="E55" s="7" t="s">
        <v>237</v>
      </c>
      <c r="F55" s="36" t="s">
        <v>125</v>
      </c>
      <c r="G55" s="7"/>
      <c r="H55" s="7" t="s">
        <v>118</v>
      </c>
      <c r="I55" s="7"/>
      <c r="J55" s="7"/>
      <c r="K55" s="7" t="s">
        <v>225</v>
      </c>
      <c r="L55" s="7"/>
      <c r="M55" s="7"/>
      <c r="N55" s="7"/>
      <c r="O55" s="8" t="s">
        <v>238</v>
      </c>
      <c r="P55" s="8"/>
    </row>
    <row r="56" spans="1:16" ht="29" x14ac:dyDescent="0.35">
      <c r="A56" s="27" t="str">
        <f t="shared" si="0"/>
        <v>9CEC</v>
      </c>
      <c r="B56" s="27">
        <f t="shared" si="1"/>
        <v>40172</v>
      </c>
      <c r="C56" s="7">
        <v>104</v>
      </c>
      <c r="D56" s="7"/>
      <c r="E56" s="7" t="s">
        <v>239</v>
      </c>
      <c r="F56" s="36" t="s">
        <v>125</v>
      </c>
      <c r="G56" s="7"/>
      <c r="H56" s="7" t="s">
        <v>118</v>
      </c>
      <c r="I56" s="7"/>
      <c r="J56" s="7"/>
      <c r="K56" s="7" t="s">
        <v>225</v>
      </c>
      <c r="L56" s="7"/>
      <c r="M56" s="7"/>
      <c r="N56" s="7"/>
      <c r="O56" s="8" t="s">
        <v>240</v>
      </c>
      <c r="P56" s="8"/>
    </row>
    <row r="57" spans="1:16" ht="29" x14ac:dyDescent="0.35">
      <c r="A57" s="27" t="str">
        <f t="shared" si="0"/>
        <v>9CEE</v>
      </c>
      <c r="B57" s="27">
        <f t="shared" si="1"/>
        <v>40174</v>
      </c>
      <c r="C57" s="7">
        <v>106</v>
      </c>
      <c r="D57" s="7"/>
      <c r="E57" s="7" t="s">
        <v>241</v>
      </c>
      <c r="F57" s="36" t="s">
        <v>125</v>
      </c>
      <c r="G57" s="7"/>
      <c r="H57" s="7" t="s">
        <v>118</v>
      </c>
      <c r="I57" s="7"/>
      <c r="J57" s="7"/>
      <c r="K57" s="7" t="s">
        <v>225</v>
      </c>
      <c r="L57" s="7"/>
      <c r="M57" s="7"/>
      <c r="N57" s="7"/>
      <c r="O57" s="8" t="s">
        <v>242</v>
      </c>
      <c r="P57" s="8"/>
    </row>
    <row r="58" spans="1:16" x14ac:dyDescent="0.35">
      <c r="A58" s="27" t="str">
        <f t="shared" si="0"/>
        <v>9CF0</v>
      </c>
      <c r="B58" s="27">
        <f t="shared" si="1"/>
        <v>40176</v>
      </c>
      <c r="C58" s="7">
        <v>108</v>
      </c>
      <c r="D58" s="7"/>
      <c r="E58" s="7" t="s">
        <v>243</v>
      </c>
      <c r="F58" s="7"/>
      <c r="G58" s="7"/>
      <c r="H58" s="7" t="s">
        <v>118</v>
      </c>
      <c r="I58" s="7"/>
      <c r="J58" s="7"/>
      <c r="K58" s="7" t="s">
        <v>225</v>
      </c>
      <c r="L58" s="7"/>
      <c r="M58" s="7"/>
      <c r="N58" s="7"/>
      <c r="O58" s="8" t="s">
        <v>244</v>
      </c>
      <c r="P58" s="8" t="s">
        <v>245</v>
      </c>
    </row>
    <row r="59" spans="1:16" ht="29" x14ac:dyDescent="0.35">
      <c r="A59" s="27" t="str">
        <f t="shared" si="0"/>
        <v>9CF2</v>
      </c>
      <c r="B59" s="27">
        <f t="shared" si="1"/>
        <v>40178</v>
      </c>
      <c r="C59" s="7">
        <v>110</v>
      </c>
      <c r="D59" s="7"/>
      <c r="E59" s="7" t="s">
        <v>246</v>
      </c>
      <c r="F59" s="36" t="s">
        <v>125</v>
      </c>
      <c r="G59" s="7"/>
      <c r="H59" s="7" t="s">
        <v>118</v>
      </c>
      <c r="I59" s="7"/>
      <c r="J59" s="7"/>
      <c r="K59" s="7" t="s">
        <v>225</v>
      </c>
      <c r="L59" s="7"/>
      <c r="M59" s="7"/>
      <c r="N59" s="7"/>
      <c r="O59" s="8" t="s">
        <v>247</v>
      </c>
      <c r="P59" s="8"/>
    </row>
    <row r="60" spans="1:16" ht="29" x14ac:dyDescent="0.35">
      <c r="A60" s="27" t="str">
        <f t="shared" si="0"/>
        <v>9CF4</v>
      </c>
      <c r="B60" s="27">
        <f t="shared" si="1"/>
        <v>40180</v>
      </c>
      <c r="C60" s="7">
        <v>112</v>
      </c>
      <c r="D60" s="7"/>
      <c r="E60" s="7" t="s">
        <v>248</v>
      </c>
      <c r="F60" s="36" t="s">
        <v>125</v>
      </c>
      <c r="G60" s="7"/>
      <c r="H60" s="7" t="s">
        <v>118</v>
      </c>
      <c r="I60" s="7"/>
      <c r="J60" s="7"/>
      <c r="K60" s="7" t="s">
        <v>225</v>
      </c>
      <c r="L60" s="7"/>
      <c r="M60" s="7"/>
      <c r="N60" s="7"/>
      <c r="O60" s="8" t="s">
        <v>249</v>
      </c>
      <c r="P60" s="8"/>
    </row>
    <row r="61" spans="1:16" ht="29" x14ac:dyDescent="0.35">
      <c r="A61" s="27" t="str">
        <f t="shared" si="0"/>
        <v>9CF6</v>
      </c>
      <c r="B61" s="27">
        <f t="shared" si="1"/>
        <v>40182</v>
      </c>
      <c r="C61" s="7">
        <v>114</v>
      </c>
      <c r="D61" s="7"/>
      <c r="E61" s="7" t="s">
        <v>250</v>
      </c>
      <c r="F61" s="36" t="s">
        <v>125</v>
      </c>
      <c r="G61" s="7"/>
      <c r="H61" s="7" t="s">
        <v>118</v>
      </c>
      <c r="I61" s="7"/>
      <c r="J61" s="7"/>
      <c r="K61" s="7" t="s">
        <v>225</v>
      </c>
      <c r="L61" s="7"/>
      <c r="M61" s="7"/>
      <c r="N61" s="7"/>
      <c r="O61" s="8" t="s">
        <v>251</v>
      </c>
      <c r="P61" s="8"/>
    </row>
    <row r="62" spans="1:16" x14ac:dyDescent="0.35">
      <c r="A62" s="27" t="str">
        <f t="shared" si="0"/>
        <v>9CF8</v>
      </c>
      <c r="B62" s="27">
        <f t="shared" si="1"/>
        <v>40184</v>
      </c>
      <c r="C62" s="7">
        <v>116</v>
      </c>
      <c r="D62" s="7"/>
      <c r="E62" s="7" t="s">
        <v>252</v>
      </c>
      <c r="F62" s="7"/>
      <c r="G62" s="7"/>
      <c r="H62" s="7" t="s">
        <v>118</v>
      </c>
      <c r="I62" s="7"/>
      <c r="J62" s="7"/>
      <c r="K62" s="7" t="s">
        <v>225</v>
      </c>
      <c r="L62" s="7"/>
      <c r="M62" s="7"/>
      <c r="N62" s="7"/>
      <c r="O62" s="8" t="s">
        <v>253</v>
      </c>
      <c r="P62" s="8" t="s">
        <v>254</v>
      </c>
    </row>
    <row r="63" spans="1:16" ht="29" x14ac:dyDescent="0.35">
      <c r="A63" s="27" t="str">
        <f t="shared" si="0"/>
        <v>9CFA</v>
      </c>
      <c r="B63" s="27">
        <f t="shared" si="1"/>
        <v>40186</v>
      </c>
      <c r="C63" s="7">
        <v>118</v>
      </c>
      <c r="D63" s="7"/>
      <c r="E63" s="7" t="s">
        <v>255</v>
      </c>
      <c r="F63" s="36" t="s">
        <v>125</v>
      </c>
      <c r="G63" s="7"/>
      <c r="H63" s="7" t="s">
        <v>118</v>
      </c>
      <c r="I63" s="7"/>
      <c r="J63" s="7"/>
      <c r="K63" s="7" t="s">
        <v>225</v>
      </c>
      <c r="L63" s="7"/>
      <c r="M63" s="7"/>
      <c r="N63" s="7"/>
      <c r="O63" s="8" t="s">
        <v>256</v>
      </c>
      <c r="P63" s="8"/>
    </row>
    <row r="64" spans="1:16" ht="29" x14ac:dyDescent="0.35">
      <c r="A64" s="27" t="str">
        <f t="shared" si="0"/>
        <v>9CFC</v>
      </c>
      <c r="B64" s="27">
        <f t="shared" si="1"/>
        <v>40188</v>
      </c>
      <c r="C64" s="7">
        <v>120</v>
      </c>
      <c r="D64" s="7"/>
      <c r="E64" s="7" t="s">
        <v>257</v>
      </c>
      <c r="F64" s="36" t="s">
        <v>125</v>
      </c>
      <c r="G64" s="7"/>
      <c r="H64" s="7" t="s">
        <v>118</v>
      </c>
      <c r="I64" s="7"/>
      <c r="J64" s="7"/>
      <c r="K64" s="7" t="s">
        <v>225</v>
      </c>
      <c r="L64" s="7"/>
      <c r="M64" s="7"/>
      <c r="N64" s="7"/>
      <c r="O64" s="8" t="s">
        <v>258</v>
      </c>
      <c r="P64" s="8"/>
    </row>
    <row r="65" spans="1:16" ht="29" x14ac:dyDescent="0.35">
      <c r="A65" s="27" t="str">
        <f t="shared" si="0"/>
        <v>9CFE</v>
      </c>
      <c r="B65" s="27">
        <f t="shared" si="1"/>
        <v>40190</v>
      </c>
      <c r="C65" s="7">
        <v>122</v>
      </c>
      <c r="D65" s="7"/>
      <c r="E65" s="7" t="s">
        <v>259</v>
      </c>
      <c r="F65" s="36" t="s">
        <v>125</v>
      </c>
      <c r="G65" s="7"/>
      <c r="H65" s="7" t="s">
        <v>118</v>
      </c>
      <c r="I65" s="7"/>
      <c r="J65" s="7"/>
      <c r="K65" s="7" t="s">
        <v>225</v>
      </c>
      <c r="L65" s="7"/>
      <c r="M65" s="7"/>
      <c r="N65" s="7"/>
      <c r="O65" s="8" t="s">
        <v>260</v>
      </c>
      <c r="P65" s="8"/>
    </row>
    <row r="66" spans="1:16" x14ac:dyDescent="0.35">
      <c r="A66" s="27" t="str">
        <f t="shared" si="0"/>
        <v>9D00</v>
      </c>
      <c r="B66" s="27">
        <f t="shared" si="1"/>
        <v>40192</v>
      </c>
      <c r="C66" s="7">
        <v>124</v>
      </c>
      <c r="D66" s="7"/>
      <c r="E66" s="7" t="s">
        <v>261</v>
      </c>
      <c r="F66" s="7"/>
      <c r="G66" s="7"/>
      <c r="H66" s="7" t="s">
        <v>262</v>
      </c>
      <c r="I66" s="7"/>
      <c r="J66" s="7"/>
      <c r="K66" s="7"/>
      <c r="L66" s="7"/>
      <c r="M66" s="7" t="s">
        <v>89</v>
      </c>
      <c r="N66" s="7"/>
      <c r="O66" s="8" t="s">
        <v>263</v>
      </c>
      <c r="P66" s="8" t="s">
        <v>264</v>
      </c>
    </row>
    <row r="67" spans="1:16" x14ac:dyDescent="0.35">
      <c r="C67" s="9"/>
      <c r="D67" s="9"/>
      <c r="E67" s="9" t="s">
        <v>265</v>
      </c>
      <c r="F67" s="9">
        <v>2</v>
      </c>
      <c r="G67" s="9"/>
      <c r="H67" s="9"/>
      <c r="I67" s="9"/>
      <c r="J67" s="9"/>
      <c r="K67" s="9"/>
      <c r="L67" s="9"/>
      <c r="M67" s="9"/>
      <c r="N67" s="9"/>
      <c r="O67" s="10"/>
      <c r="P67" s="10"/>
    </row>
    <row r="68" spans="1:16" x14ac:dyDescent="0.35">
      <c r="C68" s="9"/>
      <c r="D68" s="9"/>
      <c r="E68" s="9" t="s">
        <v>266</v>
      </c>
      <c r="F68" s="9">
        <v>3</v>
      </c>
      <c r="G68" s="9"/>
      <c r="H68" s="9"/>
      <c r="I68" s="9"/>
      <c r="J68" s="9"/>
      <c r="K68" s="9"/>
      <c r="L68" s="9"/>
      <c r="M68" s="9"/>
      <c r="N68" s="9"/>
      <c r="O68" s="10"/>
      <c r="P68" s="10"/>
    </row>
    <row r="69" spans="1:16" x14ac:dyDescent="0.35">
      <c r="C69" s="9"/>
      <c r="D69" s="9"/>
      <c r="E69" s="9" t="s">
        <v>267</v>
      </c>
      <c r="F69" s="9">
        <v>4</v>
      </c>
      <c r="G69" s="9"/>
      <c r="H69" s="9"/>
      <c r="I69" s="9"/>
      <c r="J69" s="9"/>
      <c r="K69" s="9"/>
      <c r="L69" s="9"/>
      <c r="M69" s="9"/>
      <c r="N69" s="9"/>
      <c r="O69" s="10"/>
      <c r="P69" s="10"/>
    </row>
    <row r="70" spans="1:16" x14ac:dyDescent="0.35">
      <c r="C70" s="9"/>
      <c r="D70" s="9"/>
      <c r="E70" s="9" t="s">
        <v>268</v>
      </c>
      <c r="F70" s="9">
        <v>5</v>
      </c>
      <c r="G70" s="9"/>
      <c r="H70" s="9"/>
      <c r="I70" s="9"/>
      <c r="J70" s="9"/>
      <c r="K70" s="9"/>
      <c r="L70" s="9"/>
      <c r="M70" s="9"/>
      <c r="N70" s="9"/>
      <c r="O70" s="10"/>
      <c r="P70" s="10"/>
    </row>
    <row r="71" spans="1:16" x14ac:dyDescent="0.35">
      <c r="C71" s="9"/>
      <c r="D71" s="9"/>
      <c r="E71" s="9" t="s">
        <v>269</v>
      </c>
      <c r="F71" s="9">
        <v>6</v>
      </c>
      <c r="G71" s="9"/>
      <c r="H71" s="9"/>
      <c r="I71" s="9"/>
      <c r="J71" s="9"/>
      <c r="K71" s="9"/>
      <c r="L71" s="9"/>
      <c r="M71" s="9"/>
      <c r="N71" s="9"/>
      <c r="O71" s="10"/>
      <c r="P71" s="10"/>
    </row>
    <row r="72" spans="1:16" x14ac:dyDescent="0.35">
      <c r="C72" s="9"/>
      <c r="D72" s="9"/>
      <c r="E72" s="9" t="s">
        <v>270</v>
      </c>
      <c r="F72" s="9">
        <v>7</v>
      </c>
      <c r="G72" s="9"/>
      <c r="H72" s="9"/>
      <c r="I72" s="9"/>
      <c r="J72" s="9"/>
      <c r="K72" s="9"/>
      <c r="L72" s="9"/>
      <c r="M72" s="9"/>
      <c r="N72" s="9"/>
      <c r="O72" s="10"/>
      <c r="P72" s="10"/>
    </row>
    <row r="73" spans="1:16" x14ac:dyDescent="0.35">
      <c r="C73" s="9"/>
      <c r="D73" s="9"/>
      <c r="E73" s="9" t="s">
        <v>271</v>
      </c>
      <c r="F73" s="9">
        <v>8</v>
      </c>
      <c r="G73" s="9"/>
      <c r="H73" s="9"/>
      <c r="I73" s="9"/>
      <c r="J73" s="9"/>
      <c r="K73" s="9"/>
      <c r="L73" s="9"/>
      <c r="M73" s="9"/>
      <c r="N73" s="9"/>
      <c r="O73" s="10"/>
      <c r="P73" s="10"/>
    </row>
    <row r="74" spans="1:16" x14ac:dyDescent="0.35">
      <c r="C74" s="9"/>
      <c r="D74" s="9"/>
      <c r="E74" s="9" t="s">
        <v>272</v>
      </c>
      <c r="F74" s="9">
        <v>9</v>
      </c>
      <c r="G74" s="9"/>
      <c r="H74" s="9"/>
      <c r="I74" s="9"/>
      <c r="J74" s="9"/>
      <c r="K74" s="9"/>
      <c r="L74" s="9"/>
      <c r="M74" s="9"/>
      <c r="N74" s="9"/>
      <c r="O74" s="10"/>
      <c r="P74" s="10"/>
    </row>
    <row r="75" spans="1:16" x14ac:dyDescent="0.35">
      <c r="C75" s="9"/>
      <c r="D75" s="9"/>
      <c r="E75" s="9" t="s">
        <v>273</v>
      </c>
      <c r="F75" s="9">
        <v>10</v>
      </c>
      <c r="G75" s="9"/>
      <c r="H75" s="9"/>
      <c r="I75" s="9"/>
      <c r="J75" s="9"/>
      <c r="K75" s="9"/>
      <c r="L75" s="9"/>
      <c r="M75" s="9"/>
      <c r="N75" s="9"/>
      <c r="O75" s="10"/>
      <c r="P75" s="10"/>
    </row>
    <row r="76" spans="1:16" x14ac:dyDescent="0.35">
      <c r="C76" s="9"/>
      <c r="D76" s="9"/>
      <c r="E76" s="9" t="s">
        <v>274</v>
      </c>
      <c r="F76" s="9">
        <v>11</v>
      </c>
      <c r="G76" s="9"/>
      <c r="H76" s="9"/>
      <c r="I76" s="9"/>
      <c r="J76" s="9"/>
      <c r="K76" s="9"/>
      <c r="L76" s="9"/>
      <c r="M76" s="9"/>
      <c r="N76" s="9"/>
      <c r="O76" s="10"/>
      <c r="P76" s="10"/>
    </row>
    <row r="77" spans="1:16" x14ac:dyDescent="0.35">
      <c r="C77" s="9"/>
      <c r="D77" s="9"/>
      <c r="E77" s="9" t="s">
        <v>275</v>
      </c>
      <c r="F77" s="9">
        <v>12</v>
      </c>
      <c r="G77" s="9"/>
      <c r="H77" s="9"/>
      <c r="I77" s="9"/>
      <c r="J77" s="9"/>
      <c r="K77" s="9"/>
      <c r="L77" s="9"/>
      <c r="M77" s="9"/>
      <c r="N77" s="9"/>
      <c r="O77" s="10"/>
      <c r="P77" s="10"/>
    </row>
    <row r="78" spans="1:16" x14ac:dyDescent="0.35">
      <c r="C78" s="9"/>
      <c r="D78" s="9"/>
      <c r="E78" s="9" t="s">
        <v>276</v>
      </c>
      <c r="F78" s="9">
        <v>13</v>
      </c>
      <c r="G78" s="9"/>
      <c r="H78" s="9"/>
      <c r="I78" s="9"/>
      <c r="J78" s="9"/>
      <c r="K78" s="9"/>
      <c r="L78" s="9"/>
      <c r="M78" s="9"/>
      <c r="N78" s="9"/>
      <c r="O78" s="10"/>
      <c r="P78" s="10"/>
    </row>
    <row r="79" spans="1:16" x14ac:dyDescent="0.35">
      <c r="C79" s="9"/>
      <c r="D79" s="9"/>
      <c r="E79" s="9" t="s">
        <v>277</v>
      </c>
      <c r="F79" s="9">
        <v>14</v>
      </c>
      <c r="G79" s="9"/>
      <c r="H79" s="9"/>
      <c r="I79" s="9"/>
      <c r="J79" s="9"/>
      <c r="K79" s="9"/>
      <c r="L79" s="9"/>
      <c r="M79" s="9"/>
      <c r="N79" s="9"/>
      <c r="O79" s="10"/>
      <c r="P79" s="10"/>
    </row>
    <row r="80" spans="1:16" x14ac:dyDescent="0.35">
      <c r="C80" s="9"/>
      <c r="D80" s="9"/>
      <c r="E80" s="9" t="s">
        <v>278</v>
      </c>
      <c r="F80" s="9">
        <v>15</v>
      </c>
      <c r="G80" s="9"/>
      <c r="H80" s="9"/>
      <c r="I80" s="9"/>
      <c r="J80" s="9"/>
      <c r="K80" s="9"/>
      <c r="L80" s="9"/>
      <c r="M80" s="9"/>
      <c r="N80" s="9"/>
      <c r="O80" s="10"/>
      <c r="P80" s="10"/>
    </row>
    <row r="81" spans="3:16" x14ac:dyDescent="0.35">
      <c r="C81" s="9"/>
      <c r="D81" s="9"/>
      <c r="E81" s="9" t="s">
        <v>279</v>
      </c>
      <c r="F81" s="9">
        <v>16</v>
      </c>
      <c r="G81" s="9"/>
      <c r="H81" s="9"/>
      <c r="I81" s="9"/>
      <c r="J81" s="9"/>
      <c r="K81" s="9"/>
      <c r="L81" s="9"/>
      <c r="M81" s="9"/>
      <c r="N81" s="9"/>
      <c r="O81" s="10"/>
      <c r="P81" s="10"/>
    </row>
    <row r="82" spans="3:16" x14ac:dyDescent="0.35">
      <c r="C82" s="9"/>
      <c r="D82" s="9"/>
      <c r="E82" s="9" t="s">
        <v>280</v>
      </c>
      <c r="F82" s="9">
        <v>17</v>
      </c>
      <c r="G82" s="9"/>
      <c r="H82" s="9"/>
      <c r="I82" s="9"/>
      <c r="J82" s="9"/>
      <c r="K82" s="9"/>
      <c r="L82" s="9"/>
      <c r="M82" s="9"/>
      <c r="N82" s="9"/>
      <c r="O82" s="10"/>
      <c r="P82" s="10"/>
    </row>
    <row r="83" spans="3:16" x14ac:dyDescent="0.35">
      <c r="C83" s="9"/>
      <c r="D83" s="9"/>
      <c r="E83" s="9" t="s">
        <v>281</v>
      </c>
      <c r="F83" s="9">
        <v>18</v>
      </c>
      <c r="G83" s="9"/>
      <c r="H83" s="9"/>
      <c r="I83" s="9"/>
      <c r="J83" s="9"/>
      <c r="K83" s="9"/>
      <c r="L83" s="9"/>
      <c r="M83" s="9"/>
      <c r="N83" s="9"/>
      <c r="O83" s="10"/>
      <c r="P83" s="10"/>
    </row>
    <row r="84" spans="3:16" x14ac:dyDescent="0.35">
      <c r="C84" s="9"/>
      <c r="D84" s="9"/>
      <c r="E84" s="9" t="s">
        <v>282</v>
      </c>
      <c r="F84" s="9">
        <v>19</v>
      </c>
      <c r="G84" s="9"/>
      <c r="H84" s="9"/>
      <c r="I84" s="9"/>
      <c r="J84" s="9"/>
      <c r="K84" s="9"/>
      <c r="L84" s="9"/>
      <c r="M84" s="9"/>
      <c r="N84" s="9"/>
      <c r="O84" s="10"/>
      <c r="P84" s="10"/>
    </row>
    <row r="85" spans="3:16" x14ac:dyDescent="0.35">
      <c r="C85" s="9"/>
      <c r="D85" s="9"/>
      <c r="E85" s="9" t="s">
        <v>283</v>
      </c>
      <c r="F85" s="9">
        <v>20</v>
      </c>
      <c r="G85" s="9"/>
      <c r="H85" s="9"/>
      <c r="I85" s="9"/>
      <c r="J85" s="9"/>
      <c r="K85" s="9"/>
      <c r="L85" s="9"/>
      <c r="M85" s="9"/>
      <c r="N85" s="9"/>
      <c r="O85" s="10"/>
      <c r="P85" s="10"/>
    </row>
    <row r="86" spans="3:16" x14ac:dyDescent="0.35">
      <c r="C86" s="9"/>
      <c r="D86" s="9"/>
      <c r="E86" s="9" t="s">
        <v>284</v>
      </c>
      <c r="F86" s="9">
        <v>21</v>
      </c>
      <c r="G86" s="9"/>
      <c r="H86" s="9"/>
      <c r="I86" s="9"/>
      <c r="J86" s="9"/>
      <c r="K86" s="9"/>
      <c r="L86" s="9"/>
      <c r="M86" s="9"/>
      <c r="N86" s="9"/>
      <c r="O86" s="10"/>
      <c r="P86" s="10"/>
    </row>
    <row r="87" spans="3:16" x14ac:dyDescent="0.35">
      <c r="C87" s="9"/>
      <c r="D87" s="9"/>
      <c r="E87" s="9" t="s">
        <v>285</v>
      </c>
      <c r="F87" s="9">
        <v>22</v>
      </c>
      <c r="G87" s="9"/>
      <c r="H87" s="9"/>
      <c r="I87" s="9"/>
      <c r="J87" s="9"/>
      <c r="K87" s="9"/>
      <c r="L87" s="9"/>
      <c r="M87" s="9"/>
      <c r="N87" s="9"/>
      <c r="O87" s="10"/>
      <c r="P87" s="10"/>
    </row>
    <row r="88" spans="3:16" x14ac:dyDescent="0.35">
      <c r="C88" s="9"/>
      <c r="D88" s="9"/>
      <c r="E88" s="9" t="s">
        <v>286</v>
      </c>
      <c r="F88" s="9">
        <v>23</v>
      </c>
      <c r="G88" s="9"/>
      <c r="H88" s="9"/>
      <c r="I88" s="9"/>
      <c r="J88" s="9"/>
      <c r="K88" s="9"/>
      <c r="L88" s="9"/>
      <c r="M88" s="9"/>
      <c r="N88" s="9"/>
      <c r="O88" s="10"/>
      <c r="P88" s="10"/>
    </row>
    <row r="89" spans="3:16" x14ac:dyDescent="0.35">
      <c r="C89" s="9"/>
      <c r="D89" s="9"/>
      <c r="E89" s="9" t="s">
        <v>287</v>
      </c>
      <c r="F89" s="9">
        <v>24</v>
      </c>
      <c r="G89" s="9"/>
      <c r="H89" s="9"/>
      <c r="I89" s="9"/>
      <c r="J89" s="9"/>
      <c r="K89" s="9"/>
      <c r="L89" s="9"/>
      <c r="M89" s="9"/>
      <c r="N89" s="9"/>
      <c r="O89" s="10"/>
      <c r="P89" s="10"/>
    </row>
    <row r="90" spans="3:16" x14ac:dyDescent="0.35">
      <c r="C90" s="9"/>
      <c r="D90" s="9"/>
      <c r="E90" s="9" t="s">
        <v>288</v>
      </c>
      <c r="F90" s="9">
        <v>25</v>
      </c>
      <c r="G90" s="9"/>
      <c r="H90" s="9"/>
      <c r="I90" s="9"/>
      <c r="J90" s="9"/>
      <c r="K90" s="9"/>
      <c r="L90" s="9"/>
      <c r="M90" s="9"/>
      <c r="N90" s="9"/>
      <c r="O90" s="10"/>
      <c r="P90" s="10"/>
    </row>
    <row r="91" spans="3:16" x14ac:dyDescent="0.35">
      <c r="C91" s="9"/>
      <c r="D91" s="9"/>
      <c r="E91" s="9" t="s">
        <v>289</v>
      </c>
      <c r="F91" s="9">
        <v>26</v>
      </c>
      <c r="G91" s="9"/>
      <c r="H91" s="9"/>
      <c r="I91" s="9"/>
      <c r="J91" s="9"/>
      <c r="K91" s="9"/>
      <c r="L91" s="9"/>
      <c r="M91" s="9"/>
      <c r="N91" s="9"/>
      <c r="O91" s="10"/>
      <c r="P91" s="10"/>
    </row>
    <row r="92" spans="3:16" x14ac:dyDescent="0.35">
      <c r="C92" s="9"/>
      <c r="D92" s="9"/>
      <c r="E92" s="9" t="s">
        <v>290</v>
      </c>
      <c r="F92" s="9">
        <v>27</v>
      </c>
      <c r="G92" s="9"/>
      <c r="H92" s="9"/>
      <c r="I92" s="9"/>
      <c r="J92" s="9"/>
      <c r="K92" s="9"/>
      <c r="L92" s="9"/>
      <c r="M92" s="9"/>
      <c r="N92" s="9"/>
      <c r="O92" s="10"/>
      <c r="P92" s="10"/>
    </row>
    <row r="93" spans="3:16" x14ac:dyDescent="0.35">
      <c r="C93" s="9"/>
      <c r="D93" s="9"/>
      <c r="E93" s="9" t="s">
        <v>291</v>
      </c>
      <c r="F93" s="9">
        <v>28</v>
      </c>
      <c r="G93" s="9"/>
      <c r="H93" s="9"/>
      <c r="I93" s="9"/>
      <c r="J93" s="9"/>
      <c r="K93" s="9"/>
      <c r="L93" s="9"/>
      <c r="M93" s="9"/>
      <c r="N93" s="9"/>
      <c r="O93" s="10"/>
      <c r="P93" s="10"/>
    </row>
    <row r="94" spans="3:16" x14ac:dyDescent="0.35">
      <c r="C94" s="9"/>
      <c r="D94" s="9"/>
      <c r="E94" s="9" t="s">
        <v>292</v>
      </c>
      <c r="F94" s="9">
        <v>29</v>
      </c>
      <c r="G94" s="9"/>
      <c r="H94" s="9"/>
      <c r="I94" s="9"/>
      <c r="J94" s="9"/>
      <c r="K94" s="9"/>
      <c r="L94" s="9"/>
      <c r="M94" s="9"/>
      <c r="N94" s="9"/>
      <c r="O94" s="10"/>
      <c r="P94" s="10"/>
    </row>
    <row r="95" spans="3:16" x14ac:dyDescent="0.35">
      <c r="C95" s="9"/>
      <c r="D95" s="9"/>
      <c r="E95" s="9" t="s">
        <v>293</v>
      </c>
      <c r="F95" s="9">
        <v>30</v>
      </c>
      <c r="G95" s="9"/>
      <c r="H95" s="9"/>
      <c r="I95" s="9"/>
      <c r="J95" s="9"/>
      <c r="K95" s="9"/>
      <c r="L95" s="9"/>
      <c r="M95" s="9"/>
      <c r="N95" s="9"/>
      <c r="O95" s="10"/>
      <c r="P95" s="10"/>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cope xmlns="116a6cfb-d0e0-4960-be0f-170673712bb7" xsi:nil="true"/>
    <Comments xmlns="116a6cfb-d0e0-4960-be0f-170673712bb7" xsi:nil="true"/>
    <PG xmlns="116a6cfb-d0e0-4960-be0f-170673712bb7" xsi:nil="true"/>
    <Reportdate xmlns="116a6cfb-d0e0-4960-be0f-170673712bb7" xsi:nil="true"/>
    <State xmlns="116a6cfb-d0e0-4960-be0f-170673712bb7">Draft</State>
    <TaxCatchAll xmlns="534f1309-bfc9-4d3c-bace-62743693a9b9" xsi:nil="true"/>
    <SpecificProject xmlns="116a6cfb-d0e0-4960-be0f-170673712bb7" xsi:nil="true"/>
    <lcf76f155ced4ddcb4097134ff3c332f xmlns="116a6cfb-d0e0-4960-be0f-170673712bb7">
      <Terms xmlns="http://schemas.microsoft.com/office/infopath/2007/PartnerControls"/>
    </lcf76f155ced4ddcb4097134ff3c332f>
    <_Flow_SignoffStatus xmlns="116a6cfb-d0e0-4960-be0f-170673712bb7" xsi:nil="true"/>
    <Team xmlns="116a6cfb-d0e0-4960-be0f-170673712bb7" xsi:nil="true"/>
    <DOC xmlns="116a6cfb-d0e0-4960-be0f-170673712bb7" xsi:nil="true"/>
    <_x0044_OC1 xmlns="116a6cfb-d0e0-4960-be0f-170673712bb7" xsi:nil="true"/>
    <_x0044_OC4 xmlns="116a6cfb-d0e0-4960-be0f-170673712bb7" xsi:nil="true"/>
    <TaxKeywordTaxHTField xmlns="534f1309-bfc9-4d3c-bace-62743693a9b9">
      <Terms xmlns="http://schemas.microsoft.com/office/infopath/2007/PartnerControls"/>
    </TaxKeywordTaxHTField>
    <Project xmlns="116a6cfb-d0e0-4960-be0f-170673712bb7" xsi:nil="true"/>
    <Phase xmlns="116a6cfb-d0e0-4960-be0f-170673712bb7" xsi:nil="true"/>
    <SharedWithUsers xmlns="534f1309-bfc9-4d3c-bace-62743693a9b9">
      <UserInfo>
        <DisplayName>Marco Spreafico</DisplayName>
        <AccountId>140</AccountId>
        <AccountType/>
      </UserInfo>
      <UserInfo>
        <DisplayName>Gabriele Pellegrini</DisplayName>
        <AccountId>157</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441986E6D908B4CA99A872904DE6ABB" ma:contentTypeVersion="30" ma:contentTypeDescription="Creare un nuovo documento." ma:contentTypeScope="" ma:versionID="dc6e6d7f6fbfc52c8d462a5c6cd04761">
  <xsd:schema xmlns:xsd="http://www.w3.org/2001/XMLSchema" xmlns:xs="http://www.w3.org/2001/XMLSchema" xmlns:p="http://schemas.microsoft.com/office/2006/metadata/properties" xmlns:ns2="116a6cfb-d0e0-4960-be0f-170673712bb7" xmlns:ns3="534f1309-bfc9-4d3c-bace-62743693a9b9" targetNamespace="http://schemas.microsoft.com/office/2006/metadata/properties" ma:root="true" ma:fieldsID="49b8c38e6510d482088f67c911544d6f" ns2:_="" ns3:_="">
    <xsd:import namespace="116a6cfb-d0e0-4960-be0f-170673712bb7"/>
    <xsd:import namespace="534f1309-bfc9-4d3c-bace-62743693a9b9"/>
    <xsd:element name="properties">
      <xsd:complexType>
        <xsd:sequence>
          <xsd:element name="documentManagement">
            <xsd:complexType>
              <xsd:all>
                <xsd:element ref="ns2:Comments" minOccurs="0"/>
                <xsd:element ref="ns2:State" minOccurs="0"/>
                <xsd:element ref="ns2:SpecificProject" minOccurs="0"/>
                <xsd:element ref="ns2:_Flow_SignoffStatus" minOccurs="0"/>
                <xsd:element ref="ns2:PG" minOccurs="0"/>
                <xsd:element ref="ns2:Phase" minOccurs="0"/>
                <xsd:element ref="ns2:Team" minOccurs="0"/>
                <xsd:element ref="ns2:DOC" minOccurs="0"/>
                <xsd:element ref="ns2:Project" minOccurs="0"/>
                <xsd:element ref="ns2:_x0044_OC1" minOccurs="0"/>
                <xsd:element ref="ns2:Scope" minOccurs="0"/>
                <xsd:element ref="ns2:_x0044_OC4" minOccurs="0"/>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Reportdate" minOccurs="0"/>
                <xsd:element ref="ns3:TaxKeywordTaxHTField" minOccurs="0"/>
                <xsd:element ref="ns3:TaxCatchAll"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6a6cfb-d0e0-4960-be0f-170673712bb7" elementFormDefault="qualified">
    <xsd:import namespace="http://schemas.microsoft.com/office/2006/documentManagement/types"/>
    <xsd:import namespace="http://schemas.microsoft.com/office/infopath/2007/PartnerControls"/>
    <xsd:element name="Comments" ma:index="8" nillable="true" ma:displayName="Comments" ma:format="Dropdown" ma:internalName="Comments">
      <xsd:simpleType>
        <xsd:restriction base="dms:Text">
          <xsd:maxLength value="255"/>
        </xsd:restriction>
      </xsd:simpleType>
    </xsd:element>
    <xsd:element name="State" ma:index="9" nillable="true" ma:displayName="Status" ma:default="Draft" ma:description="Approval status" ma:format="Dropdown" ma:internalName="State">
      <xsd:simpleType>
        <xsd:restriction base="dms:Choice">
          <xsd:enumeration value="Draft"/>
          <xsd:enumeration value="Approving"/>
          <xsd:enumeration value="Approved"/>
          <xsd:enumeration value="Reviewing"/>
          <xsd:enumeration value="Archived"/>
        </xsd:restriction>
      </xsd:simpleType>
    </xsd:element>
    <xsd:element name="SpecificProject" ma:index="10" nillable="true" ma:displayName="Serial Number" ma:format="Dropdown" ma:internalName="SpecificProject">
      <xsd:simpleType>
        <xsd:restriction base="dms:Text">
          <xsd:maxLength value="255"/>
        </xsd:restriction>
      </xsd:simpleType>
    </xsd:element>
    <xsd:element name="_Flow_SignoffStatus" ma:index="11" nillable="true" ma:displayName="Sign-off status" ma:internalName="Sign_x002d_off_x0020_status">
      <xsd:simpleType>
        <xsd:restriction base="dms:Text"/>
      </xsd:simpleType>
    </xsd:element>
    <xsd:element name="PG" ma:index="12" nillable="true" ma:displayName="PG" ma:description="Product Group" ma:format="Dropdown" ma:internalName="PG">
      <xsd:simpleType>
        <xsd:restriction base="dms:Choice">
          <xsd:enumeration value="PG611"/>
          <xsd:enumeration value="PG612"/>
          <xsd:enumeration value="PG620"/>
          <xsd:enumeration value="PG630"/>
          <xsd:enumeration value="PG640"/>
          <xsd:enumeration value="PG690"/>
        </xsd:restriction>
      </xsd:simpleType>
    </xsd:element>
    <xsd:element name="Phase" ma:index="13" nillable="true" ma:displayName="Phase" ma:description="Project phase" ma:format="Dropdown" ma:internalName="Phase">
      <xsd:simpleType>
        <xsd:restriction base="dms:Choice">
          <xsd:enumeration value="B - Idea"/>
          <xsd:enumeration value="C - Analisys"/>
          <xsd:enumeration value="D - Development"/>
          <xsd:enumeration value="E - Manufacturing"/>
          <xsd:enumeration value="F - Lauched"/>
        </xsd:restriction>
      </xsd:simpleType>
    </xsd:element>
    <xsd:element name="Team" ma:index="14" nillable="true" ma:displayName="Team" ma:description="Team Project Owner" ma:format="Dropdown" ma:internalName="Team">
      <xsd:simpleType>
        <xsd:restriction base="dms:Choice">
          <xsd:enumeration value="Team 1"/>
          <xsd:enumeration value="Team 2"/>
          <xsd:enumeration value="Team 3"/>
          <xsd:enumeration value="Team 4"/>
          <xsd:enumeration value="Team 5"/>
          <xsd:enumeration value="Team 6"/>
          <xsd:enumeration value="Team 7"/>
          <xsd:enumeration value="Team 8"/>
          <xsd:enumeration value="Team 9"/>
        </xsd:restriction>
      </xsd:simpleType>
    </xsd:element>
    <xsd:element name="DOC" ma:index="15" nillable="true" ma:displayName="DOC Type" ma:description="Document class" ma:format="Dropdown" ma:internalName="DOC">
      <xsd:simpleType>
        <xsd:restriction base="dms:Choice">
          <xsd:enumeration value="CRS"/>
          <xsd:enumeration value="FRS"/>
          <xsd:enumeration value="ARC"/>
          <xsd:enumeration value="PFMEA"/>
          <xsd:enumeration value="PRA"/>
          <xsd:enumeration value="SAT"/>
          <xsd:enumeration value="MEC"/>
          <xsd:enumeration value="UI"/>
          <xsd:enumeration value="APPROVAL"/>
          <xsd:enumeration value="PATL"/>
          <xsd:enumeration value="HW"/>
          <xsd:enumeration value="Expenses"/>
          <xsd:enumeration value="ITV"/>
        </xsd:restriction>
      </xsd:simpleType>
    </xsd:element>
    <xsd:element name="Project" ma:index="16" nillable="true" ma:displayName="Project" ma:format="Dropdown" ma:internalName="Project">
      <xsd:complexType>
        <xsd:complexContent>
          <xsd:extension base="dms:MultiChoice">
            <xsd:sequence>
              <xsd:element name="Value" maxOccurs="unbounded" minOccurs="0" nillable="true">
                <xsd:simpleType>
                  <xsd:restriction base="dms:Choice">
                    <xsd:enumeration value="DCM1"/>
                    <xsd:enumeration value="EMS-DER"/>
                    <xsd:enumeration value="EM600B"/>
                    <xsd:enumeration value="EMS600M"/>
                    <xsd:enumeration value="MR1"/>
                    <xsd:enumeration value="MR2"/>
                    <xsd:enumeration value="MR3"/>
                    <xsd:enumeration value="MR1"/>
                    <xsd:enumeration value="MR2"/>
                    <xsd:enumeration value="MRx"/>
                    <xsd:enumeration value="EM530 MV"/>
                    <xsd:enumeration value="EM511 MV"/>
                    <xsd:enumeration value="DCM2"/>
                    <xsd:enumeration value="EM600P"/>
                    <xsd:enumeration value="EM500 BacNet"/>
                    <xsd:enumeration value="EM500 Lora"/>
                    <xsd:enumeration value="EM530 RG"/>
                  </xsd:restriction>
                </xsd:simpleType>
              </xsd:element>
            </xsd:sequence>
          </xsd:extension>
        </xsd:complexContent>
      </xsd:complexType>
    </xsd:element>
    <xsd:element name="_x0044_OC1" ma:index="17" nillable="true" ma:displayName="DOC1" ma:description="Document class sub-type" ma:format="Dropdown" ma:internalName="_x0044_OC1">
      <xsd:simpleType>
        <xsd:restriction base="dms:Choice">
          <xsd:enumeration value="MAIN"/>
          <xsd:enumeration value="ATTACHMENT"/>
          <xsd:enumeration value="SUPPORT"/>
        </xsd:restriction>
      </xsd:simpleType>
    </xsd:element>
    <xsd:element name="Scope" ma:index="18" nillable="true" ma:displayName="Scope" ma:description="Document scope" ma:format="Dropdown" ma:internalName="Scope">
      <xsd:simpleType>
        <xsd:restriction base="dms:Choice">
          <xsd:enumeration value="Controlled"/>
          <xsd:enumeration value="Uncontrolled"/>
          <xsd:enumeration value="Public"/>
        </xsd:restriction>
      </xsd:simpleType>
    </xsd:element>
    <xsd:element name="_x0044_OC4" ma:index="19" nillable="true" ma:displayName="DOC4" ma:description="File confidentiality" ma:format="Dropdown" ma:internalName="_x0044_OC4">
      <xsd:simpleType>
        <xsd:restriction base="dms:Choice">
          <xsd:enumeration value="RESERVED"/>
          <xsd:enumeration value="NDA"/>
          <xsd:enumeration value="PUBLIC"/>
        </xsd:restriction>
      </xsd:simpleType>
    </xsd:element>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Reportdate" ma:index="26" nillable="true" ma:displayName="Report date" ma:format="DateOnly" ma:internalName="Reportdate">
      <xsd:simpleType>
        <xsd:restriction base="dms:DateTime"/>
      </xsd:simpleType>
    </xsd:element>
    <xsd:element name="lcf76f155ced4ddcb4097134ff3c332f" ma:index="31" nillable="true" ma:taxonomy="true" ma:internalName="lcf76f155ced4ddcb4097134ff3c332f" ma:taxonomyFieldName="MediaServiceImageTags" ma:displayName="Tag immagine" ma:readOnly="false" ma:fieldId="{5cf76f15-5ced-4ddc-b409-7134ff3c332f}" ma:taxonomyMulti="true" ma:sspId="92b32b6a-837c-41a4-b3e1-50d397faefa2" ma:termSetId="09814cd3-568e-fe90-9814-8d621ff8fb84" ma:anchorId="fba54fb3-c3e1-fe81-a776-ca4b69148c4d" ma:open="true" ma:isKeyword="false">
      <xsd:complexType>
        <xsd:sequence>
          <xsd:element ref="pc:Terms" minOccurs="0" maxOccurs="1"/>
        </xsd:sequence>
      </xsd:complex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MediaServiceGenerationTime" ma:index="34" nillable="true" ma:displayName="MediaServiceGenerationTime" ma:hidden="true" ma:internalName="MediaServiceGenerationTime" ma:readOnly="true">
      <xsd:simpleType>
        <xsd:restriction base="dms:Text"/>
      </xsd:simpleType>
    </xsd:element>
    <xsd:element name="MediaServiceEventHashCode" ma:index="3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34f1309-bfc9-4d3c-bace-62743693a9b9" elementFormDefault="qualified">
    <xsd:import namespace="http://schemas.microsoft.com/office/2006/documentManagement/types"/>
    <xsd:import namespace="http://schemas.microsoft.com/office/infopath/2007/PartnerControls"/>
    <xsd:element name="SharedWithUsers" ma:index="2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Condiviso con dettagli" ma:internalName="SharedWithDetails" ma:readOnly="true">
      <xsd:simpleType>
        <xsd:restriction base="dms:Note">
          <xsd:maxLength value="255"/>
        </xsd:restriction>
      </xsd:simpleType>
    </xsd:element>
    <xsd:element name="TaxKeywordTaxHTField" ma:index="28" nillable="true" ma:taxonomy="true" ma:internalName="TaxKeywordTaxHTField" ma:taxonomyFieldName="TaxKeyword" ma:displayName="Parole chiave aziendali" ma:fieldId="{23f27201-bee3-471e-b2e7-b64fd8b7ca38}" ma:taxonomyMulti="true" ma:sspId="92b32b6a-837c-41a4-b3e1-50d397faefa2" ma:termSetId="00000000-0000-0000-0000-000000000000" ma:anchorId="00000000-0000-0000-0000-000000000000" ma:open="true" ma:isKeyword="true">
      <xsd:complexType>
        <xsd:sequence>
          <xsd:element ref="pc:Terms" minOccurs="0" maxOccurs="1"/>
        </xsd:sequence>
      </xsd:complexType>
    </xsd:element>
    <xsd:element name="TaxCatchAll" ma:index="29" nillable="true" ma:displayName="Taxonomy Catch All Column" ma:hidden="true" ma:list="{4b32d9ae-e967-45aa-8b4f-3c8ba0b435b3}" ma:internalName="TaxCatchAll" ma:showField="CatchAllData" ma:web="534f1309-bfc9-4d3c-bace-62743693a9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609B17-AB75-4673-BE29-366851269921}">
  <ds:schemaRefs>
    <ds:schemaRef ds:uri="http://schemas.microsoft.com/sharepoint/v3/contenttype/forms"/>
  </ds:schemaRefs>
</ds:datastoreItem>
</file>

<file path=customXml/itemProps2.xml><?xml version="1.0" encoding="utf-8"?>
<ds:datastoreItem xmlns:ds="http://schemas.openxmlformats.org/officeDocument/2006/customXml" ds:itemID="{537488A9-0638-4E9F-9478-5B68D41AC2FF}">
  <ds:schemaRefs>
    <ds:schemaRef ds:uri="http://purl.org/dc/elements/1.1/"/>
    <ds:schemaRef ds:uri="116a6cfb-d0e0-4960-be0f-170673712bb7"/>
    <ds:schemaRef ds:uri="http://purl.org/dc/terms/"/>
    <ds:schemaRef ds:uri="http://www.w3.org/XML/1998/namespace"/>
    <ds:schemaRef ds:uri="http://purl.org/dc/dcmitype/"/>
    <ds:schemaRef ds:uri="http://schemas.microsoft.com/office/2006/documentManagement/types"/>
    <ds:schemaRef ds:uri="534f1309-bfc9-4d3c-bace-62743693a9b9"/>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401F9593-1111-409B-9192-D08320CB50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6a6cfb-d0e0-4960-be0f-170673712bb7"/>
    <ds:schemaRef ds:uri="534f1309-bfc9-4d3c-bace-62743693a9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8</vt:i4>
      </vt:variant>
    </vt:vector>
  </HeadingPairs>
  <TitlesOfParts>
    <vt:vector size="8" baseType="lpstr">
      <vt:lpstr>License Agreement</vt:lpstr>
      <vt:lpstr>Summary</vt:lpstr>
      <vt:lpstr>Index</vt:lpstr>
      <vt:lpstr>1</vt:lpstr>
      <vt:lpstr>211</vt:lpstr>
      <vt:lpstr>212</vt:lpstr>
      <vt:lpstr>213</vt:lpstr>
      <vt:lpstr>214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Samuel Lazzaro</cp:lastModifiedBy>
  <cp:revision/>
  <dcterms:created xsi:type="dcterms:W3CDTF">2021-12-09T09:47:31Z</dcterms:created>
  <dcterms:modified xsi:type="dcterms:W3CDTF">2024-12-16T14:26:36Z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0x0101009441986E6D908B4CA99A872904DE6ABB</vt:lpwstr>
  </property>
  <property fmtid="{D5CDD505-2E9C-101B-9397-08002B2CF9AE}" pid="3" name="TaxKeyword">
    <vt:lpwstr/>
  </property>
  <property fmtid="{D5CDD505-2E9C-101B-9397-08002B2CF9AE}" pid="4" name="MediaServiceImageTags">
    <vt:lpwstr/>
  </property>
</Properties>
</file>