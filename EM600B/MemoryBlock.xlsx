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automation-my.sharepoint.com/personal/samuel_lazzaro_gavazziacbu_it/Documents/"/>
    </mc:Choice>
  </mc:AlternateContent>
  <xr:revisionPtr revIDLastSave="85" documentId="8_{364AB94B-6103-457C-9FBE-3C051716A2ED}" xr6:coauthVersionLast="47" xr6:coauthVersionMax="47" xr10:uidLastSave="{60BCDB95-242B-4281-86B3-BC1C7FAB0A07}"/>
  <bookViews>
    <workbookView xWindow="23004" yWindow="-17460" windowWidth="30936" windowHeight="16776" xr2:uid="{8B5BBB1B-BE58-4BCA-8961-9749E3D2E58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7" i="1"/>
  <c r="D26" i="1"/>
  <c r="D25" i="1"/>
  <c r="D24" i="1"/>
  <c r="D13" i="1"/>
  <c r="D12" i="1"/>
  <c r="D23" i="1"/>
  <c r="D22" i="1"/>
  <c r="D21" i="1"/>
  <c r="D20" i="1"/>
  <c r="D19" i="1"/>
  <c r="D18" i="1"/>
  <c r="D17" i="1"/>
  <c r="D16" i="1"/>
  <c r="D15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<sst xmlns="http://schemas.openxmlformats.org/spreadsheetml/2006/main" count="58" uniqueCount="58">
  <si>
    <t>Name</t>
  </si>
  <si>
    <t>varMng TAG</t>
  </si>
  <si>
    <t>id block</t>
  </si>
  <si>
    <t>position</t>
  </si>
  <si>
    <t>Wi-Fi STA enabled</t>
  </si>
  <si>
    <t>VAR_WIFI_STA_ENABLE</t>
  </si>
  <si>
    <t>Wi-Fi STA DHCP enabled</t>
  </si>
  <si>
    <t>VAR_WIFI_STA_DHCP_ENABLE</t>
  </si>
  <si>
    <t>Wi-Fi STA IP stored (IP1)</t>
  </si>
  <si>
    <t>Wi-Fi STA IP stored (IP4)</t>
  </si>
  <si>
    <t>Wi-Fi STA IP stored (IP3)</t>
  </si>
  <si>
    <t>Wi-Fi STA IP stored (IP2)</t>
  </si>
  <si>
    <t>VAR_WIFI_STA_IP_STORED_B1</t>
  </si>
  <si>
    <t>VAR_WIFI_STA_IP_STORED_B2</t>
  </si>
  <si>
    <t>VAR_WIFI_STA_IP_STORED_B3</t>
  </si>
  <si>
    <t>VAR_WIFI_STA_IP_STORED_B4</t>
  </si>
  <si>
    <t>Wi-Fi STA MASK stored (MASK1)</t>
  </si>
  <si>
    <t>Wi-Fi STA MASK stored (MASK2)</t>
  </si>
  <si>
    <t>Wi-Fi STA MASK stored (MASK3)</t>
  </si>
  <si>
    <t>Wi-Fi STA MASK stored (MASK4)</t>
  </si>
  <si>
    <t>VAR_WIFI_STA_MASK_STORED_B1</t>
  </si>
  <si>
    <t>VAR_WIFI_STA_MASK_STORED_B2</t>
  </si>
  <si>
    <t>VAR_WIFI_STA_MASK_STORED_B3</t>
  </si>
  <si>
    <t>VAR_WIFI_STA_MASK_STORED_B4</t>
  </si>
  <si>
    <t>Wi-Fi STA SSID stored</t>
  </si>
  <si>
    <t>VAR_WIFI_STA_SSID_NAME</t>
  </si>
  <si>
    <t>Wi-Fi STA PWD stored</t>
  </si>
  <si>
    <t>VAR_WIFI_STA_PASSWORD</t>
  </si>
  <si>
    <t>Ethernet enabled</t>
  </si>
  <si>
    <t>VAR_ETHERNET_ENABLE</t>
  </si>
  <si>
    <t>Ethernet DHCP enabled</t>
  </si>
  <si>
    <t>VAR_ETHERNET_DHCP_ENABLE</t>
  </si>
  <si>
    <t>Ethernet IP stored (IP1)</t>
  </si>
  <si>
    <t>Ethernet IP stored (IP2)</t>
  </si>
  <si>
    <t>Ethernet IP stored (IP3)</t>
  </si>
  <si>
    <t>Ethernet IP stored (IP4)</t>
  </si>
  <si>
    <t>VAR_ETHERNET_IP_STORED_B1</t>
  </si>
  <si>
    <t>VAR_ETHERNET_IP_STORED_B2</t>
  </si>
  <si>
    <t>VAR_ETHERNET_IP_STORED_B3</t>
  </si>
  <si>
    <t>VAR_ETHERNET_IP_STORED_B4</t>
  </si>
  <si>
    <t>Ethernet MASK stored (MASK1)</t>
  </si>
  <si>
    <t>Ethernet MASK stored (MASK4)</t>
  </si>
  <si>
    <t>Ethernet MASK stored (MASK3)</t>
  </si>
  <si>
    <t>Ethernet MASK stored (MASK2)</t>
  </si>
  <si>
    <t>VAR_ETHERNET_MASK_STORED_B1</t>
  </si>
  <si>
    <t>VAR_ETHERNET_MASK_STORED_B2</t>
  </si>
  <si>
    <t>VAR_ETHERNET_MASK_STORED_B3</t>
  </si>
  <si>
    <t>VAR_ETHERNET_MASK_STORED_B4</t>
  </si>
  <si>
    <t>MQTT IP stored (IP1)</t>
  </si>
  <si>
    <t>MQTT IP stored (IP2)</t>
  </si>
  <si>
    <t>MQTT IP stored (IP3)</t>
  </si>
  <si>
    <t>MQTT IP stored (IP4)</t>
  </si>
  <si>
    <t>VAR_MQTT_IP_STORED_B1</t>
  </si>
  <si>
    <t>VAR_MQTT_IP_STORED_B2</t>
  </si>
  <si>
    <t>VAR_MQTT_IP_STORED_B3</t>
  </si>
  <si>
    <t>VAR_MQTT_IP_STORED_B4</t>
  </si>
  <si>
    <t>MQTT port</t>
  </si>
  <si>
    <t>VAR_MQTT_PORT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</si>
</sst>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2A47-2B13-4FB5-830C-587FCEF6DDCE}">
  <dimension ref="A1:D28"/>
  <sheetViews>
    <sheetView tabSelected="1" workbookViewId="0">
      <selection activeCell="C28" sqref="C28"/>
    </sheetView>
  </sheetViews>
  <sheetFormatPr defaultRowHeight="14.5" x14ac:dyDescent="0.35"/>
  <cols>
    <col min="1" max="1" width="26.36328125" bestFit="1" customWidth="1"/>
    <col min="2" max="2" width="28.36328125" bestFit="1" customWidth="1"/>
    <col min="3" max="3" width="7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t="s">
        <v>5</v>
      </c>
      <c r="C2">
        <v>4</v>
      </c>
      <c r="D2">
        <f>2*38</f>
        <v>76</v>
      </c>
    </row>
    <row r="3" spans="1:4" x14ac:dyDescent="0.35">
      <c r="A3" t="s">
        <v>6</v>
      </c>
      <c r="B3" t="s">
        <v>7</v>
      </c>
      <c r="C3">
        <v>4</v>
      </c>
      <c r="D3">
        <f>2*39</f>
        <v>78</v>
      </c>
    </row>
    <row r="4" spans="1:4" x14ac:dyDescent="0.35">
      <c r="A4" t="s">
        <v>8</v>
      </c>
      <c r="B4" t="s">
        <v>12</v>
      </c>
      <c r="C4">
        <v>4</v>
      </c>
      <c r="D4">
        <f>2*20</f>
        <v>40</v>
      </c>
    </row>
    <row r="5" spans="1:4" x14ac:dyDescent="0.35">
      <c r="A5" t="s">
        <v>11</v>
      </c>
      <c r="B5" t="s">
        <v>13</v>
      </c>
      <c r="C5">
        <v>4</v>
      </c>
      <c r="D5">
        <f>2*21</f>
        <v>42</v>
      </c>
    </row>
    <row r="6" spans="1:4" x14ac:dyDescent="0.35">
      <c r="A6" t="s">
        <v>10</v>
      </c>
      <c r="B6" t="s">
        <v>14</v>
      </c>
      <c r="C6">
        <v>4</v>
      </c>
      <c r="D6">
        <f>2*22</f>
        <v>44</v>
      </c>
    </row>
    <row r="7" spans="1:4" x14ac:dyDescent="0.35">
      <c r="A7" t="s">
        <v>9</v>
      </c>
      <c r="B7" t="s">
        <v>15</v>
      </c>
      <c r="C7">
        <v>4</v>
      </c>
      <c r="D7">
        <f>2*23</f>
        <v>46</v>
      </c>
    </row>
    <row r="8" spans="1:4" x14ac:dyDescent="0.35">
      <c r="A8" t="s">
        <v>16</v>
      </c>
      <c r="B8" t="s">
        <v>20</v>
      </c>
      <c r="C8" s="2">
        <v>4</v>
      </c>
      <c r="D8">
        <f>2*24</f>
        <v>48</v>
      </c>
    </row>
    <row r="9" spans="1:4" x14ac:dyDescent="0.35">
      <c r="A9" t="s">
        <v>17</v>
      </c>
      <c r="B9" t="s">
        <v>21</v>
      </c>
      <c r="C9" s="2">
        <v>4</v>
      </c>
      <c r="D9">
        <f>2*25</f>
        <v>50</v>
      </c>
    </row>
    <row r="10" spans="1:4" x14ac:dyDescent="0.35">
      <c r="A10" t="s">
        <v>18</v>
      </c>
      <c r="B10" t="s">
        <v>22</v>
      </c>
      <c r="C10" s="2">
        <v>4</v>
      </c>
      <c r="D10">
        <f>2*26</f>
        <v>52</v>
      </c>
    </row>
    <row r="11" spans="1:4" x14ac:dyDescent="0.35">
      <c r="A11" t="s">
        <v>19</v>
      </c>
      <c r="B11" t="s">
        <v>23</v>
      </c>
      <c r="C11" s="2">
        <v>4</v>
      </c>
      <c r="D11">
        <f>2*27</f>
        <v>54</v>
      </c>
    </row>
    <row r="12" spans="1:4" x14ac:dyDescent="0.35">
      <c r="A12" t="s">
        <v>24</v>
      </c>
      <c r="B12" t="s">
        <v>25</v>
      </c>
      <c r="C12" s="2">
        <v>4</v>
      </c>
      <c r="D12">
        <f>118+32*4</f>
        <v>246</v>
      </c>
    </row>
    <row r="13" spans="1:4" x14ac:dyDescent="0.35">
      <c r="A13" t="s">
        <v>26</v>
      </c>
      <c r="B13" t="s">
        <v>27</v>
      </c>
      <c r="C13" s="2">
        <v>4</v>
      </c>
      <c r="D13">
        <f>118+32*5</f>
        <v>278</v>
      </c>
    </row>
    <row r="14" spans="1:4" x14ac:dyDescent="0.35">
      <c r="A14" t="s">
        <v>28</v>
      </c>
      <c r="B14" t="s">
        <v>29</v>
      </c>
      <c r="C14" s="2">
        <v>4</v>
      </c>
      <c r="D14">
        <v>0</v>
      </c>
    </row>
    <row r="15" spans="1:4" x14ac:dyDescent="0.35">
      <c r="A15" t="s">
        <v>30</v>
      </c>
      <c r="B15" t="s">
        <v>31</v>
      </c>
      <c r="C15" s="2">
        <v>4</v>
      </c>
      <c r="D15">
        <f>2*1</f>
        <v>2</v>
      </c>
    </row>
    <row r="16" spans="1:4" x14ac:dyDescent="0.35">
      <c r="A16" t="s">
        <v>32</v>
      </c>
      <c r="B16" t="s">
        <v>36</v>
      </c>
      <c r="C16" s="2">
        <v>4</v>
      </c>
      <c r="D16">
        <f>2*2</f>
        <v>4</v>
      </c>
    </row>
    <row r="17" spans="1:4" x14ac:dyDescent="0.35">
      <c r="A17" t="s">
        <v>33</v>
      </c>
      <c r="B17" t="s">
        <v>37</v>
      </c>
      <c r="C17" s="2">
        <v>4</v>
      </c>
      <c r="D17">
        <f>2*3</f>
        <v>6</v>
      </c>
    </row>
    <row r="18" spans="1:4" x14ac:dyDescent="0.35">
      <c r="A18" t="s">
        <v>34</v>
      </c>
      <c r="B18" t="s">
        <v>38</v>
      </c>
      <c r="C18" s="2">
        <v>4</v>
      </c>
      <c r="D18">
        <f>2*4</f>
        <v>8</v>
      </c>
    </row>
    <row r="19" spans="1:4" x14ac:dyDescent="0.35">
      <c r="A19" t="s">
        <v>35</v>
      </c>
      <c r="B19" t="s">
        <v>39</v>
      </c>
      <c r="C19" s="2">
        <v>4</v>
      </c>
      <c r="D19">
        <f>2*5</f>
        <v>10</v>
      </c>
    </row>
    <row r="20" spans="1:4" x14ac:dyDescent="0.35">
      <c r="A20" t="s">
        <v>40</v>
      </c>
      <c r="B20" t="s">
        <v>44</v>
      </c>
      <c r="C20" s="2">
        <v>4</v>
      </c>
      <c r="D20">
        <f>2*6</f>
        <v>12</v>
      </c>
    </row>
    <row r="21" spans="1:4" x14ac:dyDescent="0.35">
      <c r="A21" t="s">
        <v>43</v>
      </c>
      <c r="B21" t="s">
        <v>45</v>
      </c>
      <c r="C21" s="2">
        <v>4</v>
      </c>
      <c r="D21">
        <f>2*7</f>
        <v>14</v>
      </c>
    </row>
    <row r="22" spans="1:4" x14ac:dyDescent="0.35">
      <c r="A22" t="s">
        <v>42</v>
      </c>
      <c r="B22" t="s">
        <v>46</v>
      </c>
      <c r="C22" s="2">
        <v>4</v>
      </c>
      <c r="D22">
        <f>2*8</f>
        <v>16</v>
      </c>
    </row>
    <row r="23" spans="1:4" x14ac:dyDescent="0.35">
      <c r="A23" t="s">
        <v>41</v>
      </c>
      <c r="B23" t="s">
        <v>47</v>
      </c>
      <c r="C23" s="2">
        <v>4</v>
      </c>
      <c r="D23">
        <f>2*9</f>
        <v>18</v>
      </c>
    </row>
    <row r="24" spans="1:4" x14ac:dyDescent="0.35">
      <c r="A24" t="s">
        <v>48</v>
      </c>
      <c r="B24" t="s">
        <v>52</v>
      </c>
      <c r="C24" s="2">
        <v>4</v>
      </c>
      <c r="D24">
        <f>2*54</f>
        <v>108</v>
      </c>
    </row>
    <row r="25" spans="1:4" x14ac:dyDescent="0.35">
      <c r="A25" t="s">
        <v>49</v>
      </c>
      <c r="B25" t="s">
        <v>53</v>
      </c>
      <c r="C25" s="2">
        <v>4</v>
      </c>
      <c r="D25">
        <f>2*55</f>
        <v>110</v>
      </c>
    </row>
    <row r="26" spans="1:4" x14ac:dyDescent="0.35">
      <c r="A26" t="s">
        <v>50</v>
      </c>
      <c r="B26" t="s">
        <v>54</v>
      </c>
      <c r="C26" s="2">
        <v>4</v>
      </c>
      <c r="D26">
        <f>2*56</f>
        <v>112</v>
      </c>
    </row>
    <row r="27" spans="1:4" x14ac:dyDescent="0.35">
      <c r="A27" t="s">
        <v>51</v>
      </c>
      <c r="B27" t="s">
        <v>55</v>
      </c>
      <c r="C27" s="2">
        <v>4</v>
      </c>
      <c r="D27">
        <f>2*57</f>
        <v>114</v>
      </c>
    </row>
    <row r="28" spans="1:4" x14ac:dyDescent="0.35">
      <c r="A28" t="s">
        <v>56</v>
      </c>
      <c r="B28" t="s">
        <v>57</v>
      </c>
      <c r="C28" s="2">
        <v>4</v>
      </c>
      <c r="D28">
        <f>2*58</f>
        <v>116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Lazzaro</dc:creator>
  <cp:lastModifiedBy>Samuel Lazzaro</cp:lastModifiedBy>
  <dcterms:created xsi:type="dcterms:W3CDTF">2025-03-24T15:21:30Z</dcterms:created>
  <dcterms:modified xsi:type="dcterms:W3CDTF">2025-03-24T16:03:53Z</dcterms:modified>
</cp:coreProperties>
</file>